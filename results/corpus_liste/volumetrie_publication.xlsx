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at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<sst xmlns="http://schemas.openxmlformats.org/spreadsheetml/2006/main" count="152" uniqueCount="105">
  <si>
    <t xml:space="preserve">size_go</t>
  </si>
  <si>
    <t xml:space="preserve">uuid</t>
  </si>
  <si>
    <t xml:space="preserve">file_type</t>
  </si>
  <si>
    <t xml:space="preserve">audio</t>
  </si>
  <si>
    <t xml:space="preserve">autre</t>
  </si>
  <si>
    <t xml:space="preserve">jpeg</t>
  </si>
  <si>
    <t xml:space="preserve">ocr xml</t>
  </si>
  <si>
    <t xml:space="preserve">pdf</t>
  </si>
  <si>
    <t xml:space="preserve">tiff</t>
  </si>
  <si>
    <t xml:space="preserve">video</t>
  </si>
  <si>
    <t xml:space="preserve">Total</t>
  </si>
  <si>
    <t xml:space="preserve">Q</t>
  </si>
  <si>
    <t xml:space="preserve">jpeg_compresse_Go</t>
  </si>
  <si>
    <t xml:space="preserve">jpeg_natif_Go</t>
  </si>
  <si>
    <t xml:space="preserve">alto_Go</t>
  </si>
  <si>
    <t xml:space="preserve">ratio_audio</t>
  </si>
  <si>
    <t xml:space="preserve">audio_diffusion_Go</t>
  </si>
  <si>
    <t xml:space="preserve">ratio_video</t>
  </si>
  <si>
    <t xml:space="preserve">video_diffusion_Go</t>
  </si>
  <si>
    <t xml:space="preserve">poids_final_Go</t>
  </si>
  <si>
    <t xml:space="preserve">corpus_code</t>
  </si>
  <si>
    <t xml:space="preserve">AMR_AFF</t>
  </si>
  <si>
    <t xml:space="preserve">AMR_CAD</t>
  </si>
  <si>
    <t xml:space="preserve">AMR_DEL</t>
  </si>
  <si>
    <t xml:space="preserve">AMR_GUE</t>
  </si>
  <si>
    <t xml:space="preserve">AMR_OBJ</t>
  </si>
  <si>
    <t xml:space="preserve">AMR_PHO</t>
  </si>
  <si>
    <t xml:space="preserve">AMR_PLA</t>
  </si>
  <si>
    <t xml:space="preserve">AMR_POP</t>
  </si>
  <si>
    <t xml:space="preserve">AMR_PR</t>
  </si>
  <si>
    <t xml:space="preserve">AMR_RAM</t>
  </si>
  <si>
    <t xml:space="preserve">ARA_CPS</t>
  </si>
  <si>
    <t xml:space="preserve">CSV_PAL</t>
  </si>
  <si>
    <t xml:space="preserve">LAI</t>
  </si>
  <si>
    <t xml:space="preserve">LAR_PUB</t>
  </si>
  <si>
    <t xml:space="preserve">MDF_MTX</t>
  </si>
  <si>
    <t xml:space="preserve">MED_AFF</t>
  </si>
  <si>
    <t xml:space="preserve">MED_CHA</t>
  </si>
  <si>
    <t xml:space="preserve">MED_CP</t>
  </si>
  <si>
    <t xml:space="preserve">MED_EPH</t>
  </si>
  <si>
    <t xml:space="preserve">MED_FLR</t>
  </si>
  <si>
    <t xml:space="preserve">MED_FOO</t>
  </si>
  <si>
    <t xml:space="preserve">MED_IMA</t>
  </si>
  <si>
    <t xml:space="preserve">MED_LET</t>
  </si>
  <si>
    <t xml:space="preserve">MED_MAR</t>
  </si>
  <si>
    <t xml:space="preserve">MED_MON</t>
  </si>
  <si>
    <t xml:space="preserve">MED_MS</t>
  </si>
  <si>
    <t xml:space="preserve">MED_PAR</t>
  </si>
  <si>
    <t xml:space="preserve">MED_PHO</t>
  </si>
  <si>
    <t xml:space="preserve">MED_PLA</t>
  </si>
  <si>
    <t xml:space="preserve">MED_PUB</t>
  </si>
  <si>
    <t xml:space="preserve">MED_VDM</t>
  </si>
  <si>
    <t xml:space="preserve">MUS_ARC</t>
  </si>
  <si>
    <t xml:space="preserve">MUS_VAI</t>
  </si>
  <si>
    <t xml:space="preserve">OBS_JOU</t>
  </si>
  <si>
    <t xml:space="preserve">PRA_AVE</t>
  </si>
  <si>
    <t xml:space="preserve">PRA_CRT</t>
  </si>
  <si>
    <t xml:space="preserve">PRA_CTG</t>
  </si>
  <si>
    <t xml:space="preserve">PRA_ERT</t>
  </si>
  <si>
    <t xml:space="preserve">PRA_IND</t>
  </si>
  <si>
    <t xml:space="preserve">PRA_JRX</t>
  </si>
  <si>
    <t xml:space="preserve">PRA_RTG</t>
  </si>
  <si>
    <t xml:space="preserve">VAH_PUB</t>
  </si>
  <si>
    <t xml:space="preserve">qualites</t>
  </si>
  <si>
    <t xml:space="preserve">AMR_10FI</t>
  </si>
  <si>
    <t xml:space="preserve">AMR_1NumFi</t>
  </si>
  <si>
    <t xml:space="preserve">AMR_1PER3</t>
  </si>
  <si>
    <t xml:space="preserve">AMR_21J</t>
  </si>
  <si>
    <t xml:space="preserve">AMR_2F</t>
  </si>
  <si>
    <t xml:space="preserve">AMR_310W</t>
  </si>
  <si>
    <t xml:space="preserve">AMR_381W</t>
  </si>
  <si>
    <t xml:space="preserve">AMR_3D</t>
  </si>
  <si>
    <t xml:space="preserve">AMR_3FI</t>
  </si>
  <si>
    <t xml:space="preserve">AMR_3O</t>
  </si>
  <si>
    <t xml:space="preserve">AMR_3R</t>
  </si>
  <si>
    <t xml:space="preserve">AMR_440W</t>
  </si>
  <si>
    <t xml:space="preserve">AMR_4FI</t>
  </si>
  <si>
    <t xml:space="preserve">AMR_4H</t>
  </si>
  <si>
    <t xml:space="preserve">AMR_4M</t>
  </si>
  <si>
    <t xml:space="preserve">AMR_500W</t>
  </si>
  <si>
    <t xml:space="preserve">AMR_507W</t>
  </si>
  <si>
    <t xml:space="preserve">AMR_512W</t>
  </si>
  <si>
    <t xml:space="preserve">AMR_5FI</t>
  </si>
  <si>
    <t xml:space="preserve">AMR_5M</t>
  </si>
  <si>
    <t xml:space="preserve">AMR_7J</t>
  </si>
  <si>
    <t xml:space="preserve">AMR_8C</t>
  </si>
  <si>
    <t xml:space="preserve">AMR_8J</t>
  </si>
  <si>
    <t xml:space="preserve">AMR_9FI</t>
  </si>
  <si>
    <t xml:space="preserve">AMR_ALI</t>
  </si>
  <si>
    <t xml:space="preserve">AMR_BAR</t>
  </si>
  <si>
    <t xml:space="preserve">AMR_CIM</t>
  </si>
  <si>
    <t xml:space="preserve">AMR_DIA</t>
  </si>
  <si>
    <t xml:space="preserve">AMR_LEB</t>
  </si>
  <si>
    <t xml:space="preserve">AMR_O</t>
  </si>
  <si>
    <t xml:space="preserve">AMR_PAR</t>
  </si>
  <si>
    <t xml:space="preserve">AMR_PUV</t>
  </si>
  <si>
    <t xml:space="preserve">AMR_PV</t>
  </si>
  <si>
    <t xml:space="preserve">AMR_ROU</t>
  </si>
  <si>
    <t xml:space="preserve">MED_DIL</t>
  </si>
  <si>
    <t xml:space="preserve">MED_FAN</t>
  </si>
  <si>
    <t xml:space="preserve">MED_JOU</t>
  </si>
  <si>
    <t xml:space="preserve">MED_PBI</t>
  </si>
  <si>
    <t xml:space="preserve">MED_PHD</t>
  </si>
  <si>
    <t xml:space="preserve">MED_VAI</t>
  </si>
  <si>
    <t xml:space="preserve">PRA_BDR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</si>
</sst>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6" min="18" style="1" width="18"/>
  </cols>
  <sheetData>
    <row r="1" customFormat="false" ht="15" hidden="false" customHeight="true" outlineLevel="0" collapsed="false">
      <c r="A1" s="2"/>
      <c r="B1" s="2" t="s">
        <v>0</v>
      </c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  <c r="V2" s="3" t="s">
        <v>15</v>
      </c>
      <c r="W2" s="3" t="s">
        <v>16</v>
      </c>
      <c r="X2" s="3" t="s">
        <v>17</v>
      </c>
      <c r="Y2" s="3" t="s">
        <v>18</v>
      </c>
      <c r="Z2" s="3" t="s">
        <v>19</v>
      </c>
    </row>
    <row r="3" customFormat="false" ht="15" hidden="false" customHeight="true" outlineLevel="0" collapsed="false">
      <c r="A3" s="2" t="s">
        <v>20</v>
      </c>
    </row>
    <row r="4" customFormat="false" ht="15" hidden="false" customHeight="true" outlineLevel="0" collapsed="false">
      <c r="A4" s="2" t="s">
        <v>21</v>
      </c>
      <c r="G4" s="1" t="n">
        <v>119.758942169137</v>
      </c>
      <c r="I4" s="1" t="n">
        <v>119.758942169137</v>
      </c>
      <c r="O4" s="1" t="n">
        <v>1005</v>
      </c>
      <c r="Q4" s="1" t="n">
        <v>1005</v>
      </c>
      <c r="R4" s="4" t="n">
        <v>85</v>
      </c>
      <c r="S4" s="5" t="n">
        <f aca="false">IF(OR(N(G4)=0,$R4=""),"",IFERROR(G4/INDEX(Ratios!$B$2:$F$79,MATCH($A4,Ratios!$A$2:$A$79,0),MATCH($R4,Ratios!$B$1:$F$1,0)),"ratio inconnu"))</f>
        <v>7.60229430388732</v>
      </c>
      <c r="T4" s="5" t="str">
        <f aca="false">IF(N(D4)&gt;0,D4,"")</f>
        <v/>
      </c>
      <c r="U4" s="5" t="str">
        <f aca="false">IF(N(E4)&gt;0,E4,"")</f>
        <v/>
      </c>
      <c r="V4" s="6"/>
      <c r="W4" s="5" t="str">
        <f aca="false">IF(N(B4)=0,"",IFERROR(B4/V4,""))</f>
        <v/>
      </c>
      <c r="X4" s="6"/>
      <c r="Y4" s="5" t="str">
        <f aca="false">IF(N(H4)=0,"",IFERROR(H4/X4,""))</f>
        <v/>
      </c>
      <c r="Z4" s="5" t="n">
        <f aca="false">N(C4)+N(F4)+N(T4)+N(U4)+N(S4)+N(W4)+N(Y4)</f>
        <v>7.60229430388732</v>
      </c>
    </row>
    <row r="5" customFormat="false" ht="15" hidden="false" customHeight="true" outlineLevel="0" collapsed="false">
      <c r="A5" s="2" t="s">
        <v>22</v>
      </c>
      <c r="D5" s="1" t="n">
        <v>4.860435847193</v>
      </c>
      <c r="F5" s="1" t="n">
        <v>0.101081750355661</v>
      </c>
      <c r="G5" s="1" t="n">
        <v>9.79037230461836</v>
      </c>
      <c r="I5" s="1" t="n">
        <v>14.751889902167</v>
      </c>
      <c r="L5" s="1" t="n">
        <v>193</v>
      </c>
      <c r="N5" s="1" t="n">
        <v>29</v>
      </c>
      <c r="O5" s="1" t="n">
        <v>25</v>
      </c>
      <c r="Q5" s="1" t="n">
        <v>247</v>
      </c>
      <c r="R5" s="4" t="n">
        <v>85</v>
      </c>
      <c r="S5" s="5" t="n">
        <f aca="false">IF(OR(N(G5)=0,$R5=""),"",IFERROR(G5/INDEX(Ratios!$B$2:$F$79,MATCH($A5,Ratios!$A$2:$A$79,0),MATCH($R5,Ratios!$B$1:$F$1,0)),"ratio inconnu"))</f>
        <v>0.709036232953242</v>
      </c>
      <c r="T5" s="5" t="n">
        <f aca="false">IF(N(D5)&gt;0,D5,"")</f>
        <v>4.860435847193</v>
      </c>
      <c r="U5" s="5" t="str">
        <f aca="false">IF(N(E5)&gt;0,E5,"")</f>
        <v/>
      </c>
      <c r="V5" s="6"/>
      <c r="W5" s="5" t="str">
        <f aca="false">IF(N(B5)=0,"",IFERROR(B5/V5,""))</f>
        <v/>
      </c>
      <c r="X5" s="6"/>
      <c r="Y5" s="5" t="str">
        <f aca="false">IF(N(H5)=0,"",IFERROR(H5/X5,""))</f>
        <v/>
      </c>
      <c r="Z5" s="5" t="n">
        <f aca="false">N(C5)+N(F5)+N(T5)+N(U5)+N(S5)+N(W5)+N(Y5)</f>
        <v>5.6705538305019</v>
      </c>
    </row>
    <row r="6" customFormat="false" ht="15" hidden="false" customHeight="true" outlineLevel="0" collapsed="false">
      <c r="A6" s="2" t="s">
        <v>23</v>
      </c>
      <c r="E6" s="1" t="n">
        <v>12.1866699447855</v>
      </c>
      <c r="G6" s="1" t="n">
        <v>2143.79788597114</v>
      </c>
      <c r="I6" s="1" t="n">
        <v>2155.98455591593</v>
      </c>
      <c r="M6" s="1" t="n">
        <v>54734</v>
      </c>
      <c r="O6" s="1" t="n">
        <v>67364</v>
      </c>
      <c r="Q6" s="1" t="n">
        <v>122098</v>
      </c>
      <c r="R6" s="4" t="n">
        <v>85</v>
      </c>
      <c r="S6" s="5" t="n">
        <f aca="false">IF(OR(N(G6)=0,$R6=""),"",IFERROR(G6/INDEX(Ratios!$B$2:$F$79,MATCH($A6,Ratios!$A$2:$A$79,0),MATCH($R6,Ratios!$B$1:$F$1,0)),"ratio inconnu"))</f>
        <v>182.001688256316</v>
      </c>
      <c r="T6" s="5" t="str">
        <f aca="false">IF(N(D6)&gt;0,D6,"")</f>
        <v/>
      </c>
      <c r="U6" s="5" t="n">
        <f aca="false">IF(N(E6)&gt;0,E6,"")</f>
        <v>12.1866699447855</v>
      </c>
      <c r="V6" s="6"/>
      <c r="W6" s="5" t="str">
        <f aca="false">IF(N(B6)=0,"",IFERROR(B6/V6,""))</f>
        <v/>
      </c>
      <c r="X6" s="6"/>
      <c r="Y6" s="5" t="str">
        <f aca="false">IF(N(H6)=0,"",IFERROR(H6/X6,""))</f>
        <v/>
      </c>
      <c r="Z6" s="5" t="n">
        <f aca="false">N(C6)+N(F6)+N(T6)+N(U6)+N(S6)+N(W6)+N(Y6)</f>
        <v>194.188358201101</v>
      </c>
    </row>
    <row r="7" customFormat="false" ht="15" hidden="false" customHeight="true" outlineLevel="0" collapsed="false">
      <c r="A7" s="2" t="s">
        <v>24</v>
      </c>
      <c r="D7" s="1" t="n">
        <v>1.62645553890616</v>
      </c>
      <c r="E7" s="1" t="n">
        <v>0.0347023000940681</v>
      </c>
      <c r="I7" s="1" t="n">
        <v>1.66115783900023</v>
      </c>
      <c r="L7" s="1" t="n">
        <v>339</v>
      </c>
      <c r="M7" s="1" t="n">
        <v>339</v>
      </c>
      <c r="Q7" s="1" t="n">
        <v>678</v>
      </c>
      <c r="R7" s="6"/>
      <c r="S7" s="5" t="str">
        <f aca="false">IF(OR(N(G7)=0,$R7=""),"",IFERROR(G7/INDEX(Ratios!$B$2:$F$79,MATCH($A7,Ratios!$A$2:$A$79,0),MATCH($R7,Ratios!$B$1:$F$1,0)),"ratio inconnu"))</f>
        <v/>
      </c>
      <c r="T7" s="5" t="n">
        <f aca="false">IF(N(D7)&gt;0,D7,"")</f>
        <v>1.62645553890616</v>
      </c>
      <c r="U7" s="5" t="n">
        <f aca="false">IF(N(E7)&gt;0,E7,"")</f>
        <v>0.0347023000940681</v>
      </c>
      <c r="V7" s="6"/>
      <c r="W7" s="5" t="str">
        <f aca="false">IF(N(B7)=0,"",IFERROR(B7/V7,""))</f>
        <v/>
      </c>
      <c r="X7" s="6"/>
      <c r="Y7" s="5" t="str">
        <f aca="false">IF(N(H7)=0,"",IFERROR(H7/X7,""))</f>
        <v/>
      </c>
      <c r="Z7" s="5" t="n">
        <f aca="false">N(C7)+N(F7)+N(T7)+N(U7)+N(S7)+N(W7)+N(Y7)</f>
        <v>1.66115783900023</v>
      </c>
    </row>
    <row r="8" customFormat="false" ht="15" hidden="false" customHeight="true" outlineLevel="0" collapsed="false">
      <c r="A8" s="2" t="s">
        <v>25</v>
      </c>
      <c r="G8" s="1" t="n">
        <v>0.398485404439271</v>
      </c>
      <c r="I8" s="1" t="n">
        <v>0.398485404439271</v>
      </c>
      <c r="O8" s="1" t="n">
        <v>99</v>
      </c>
      <c r="Q8" s="1" t="n">
        <v>99</v>
      </c>
      <c r="R8" s="4" t="n">
        <v>85</v>
      </c>
      <c r="S8" s="5" t="n">
        <f aca="false">IF(OR(N(G8)=0,$R8=""),"",IFERROR(G8/INDEX(Ratios!$B$2:$F$79,MATCH($A8,Ratios!$A$2:$A$79,0),MATCH($R8,Ratios!$B$1:$F$1,0)),"ratio inconnu"))</f>
        <v>0.014339681328557</v>
      </c>
      <c r="T8" s="5" t="str">
        <f aca="false">IF(N(D8)&gt;0,D8,"")</f>
        <v/>
      </c>
      <c r="U8" s="5" t="str">
        <f aca="false">IF(N(E8)&gt;0,E8,"")</f>
        <v/>
      </c>
      <c r="V8" s="6"/>
      <c r="W8" s="5" t="str">
        <f aca="false">IF(N(B8)=0,"",IFERROR(B8/V8,""))</f>
        <v/>
      </c>
      <c r="X8" s="6"/>
      <c r="Y8" s="5" t="str">
        <f aca="false">IF(N(H8)=0,"",IFERROR(H8/X8,""))</f>
        <v/>
      </c>
      <c r="Z8" s="5" t="n">
        <f aca="false">N(C8)+N(F8)+N(T8)+N(U8)+N(S8)+N(W8)+N(Y8)</f>
        <v>0.014339681328557</v>
      </c>
    </row>
    <row r="9" customFormat="false" ht="15" hidden="false" customHeight="true" outlineLevel="0" collapsed="false">
      <c r="A9" s="2" t="s">
        <v>26</v>
      </c>
      <c r="G9" s="1" t="n">
        <v>7.56482641585171</v>
      </c>
      <c r="I9" s="1" t="n">
        <v>7.56482641585171</v>
      </c>
      <c r="O9" s="1" t="n">
        <v>1194</v>
      </c>
      <c r="Q9" s="1" t="n">
        <v>1194</v>
      </c>
      <c r="R9" s="4" t="n">
        <v>85</v>
      </c>
      <c r="S9" s="5" t="n">
        <f aca="false">IF(OR(N(G9)=0,$R9=""),"",IFERROR(G9/INDEX(Ratios!$B$2:$F$79,MATCH($A9,Ratios!$A$2:$A$79,0),MATCH($R9,Ratios!$B$1:$F$1,0)),"ratio inconnu"))</f>
        <v>0.331093593130765</v>
      </c>
      <c r="T9" s="5" t="str">
        <f aca="false">IF(N(D9)&gt;0,D9,"")</f>
        <v/>
      </c>
      <c r="U9" s="5" t="str">
        <f aca="false">IF(N(E9)&gt;0,E9,"")</f>
        <v/>
      </c>
      <c r="V9" s="6"/>
      <c r="W9" s="5" t="str">
        <f aca="false">IF(N(B9)=0,"",IFERROR(B9/V9,""))</f>
        <v/>
      </c>
      <c r="X9" s="6"/>
      <c r="Y9" s="5" t="str">
        <f aca="false">IF(N(H9)=0,"",IFERROR(H9/X9,""))</f>
        <v/>
      </c>
      <c r="Z9" s="5" t="n">
        <f aca="false">N(C9)+N(F9)+N(T9)+N(U9)+N(S9)+N(W9)+N(Y9)</f>
        <v>0.331093593130765</v>
      </c>
    </row>
    <row r="10" customFormat="false" ht="15" hidden="false" customHeight="true" outlineLevel="0" collapsed="false">
      <c r="A10" s="2" t="s">
        <v>27</v>
      </c>
      <c r="D10" s="1" t="n">
        <v>2.96452715899795</v>
      </c>
      <c r="G10" s="1" t="n">
        <v>1.16463010013104</v>
      </c>
      <c r="I10" s="1" t="n">
        <v>4.12915725912899</v>
      </c>
      <c r="L10" s="1" t="n">
        <v>115</v>
      </c>
      <c r="O10" s="1" t="n">
        <v>11</v>
      </c>
      <c r="Q10" s="1" t="n">
        <v>126</v>
      </c>
      <c r="R10" s="4" t="n">
        <v>85</v>
      </c>
      <c r="S10" s="5" t="str">
        <f aca="false">IF(OR(N(G10)=0,$R10=""),"",IFERROR(G10/INDEX(Ratios!$B$2:$F$79,MATCH($A10,Ratios!$A$2:$A$79,0),MATCH($R10,Ratios!$B$1:$F$1,0)),"ratio inconnu"))</f>
        <v>ratio inconnu</v>
      </c>
      <c r="T10" s="5" t="n">
        <f aca="false">IF(N(D10)&gt;0,D10,"")</f>
        <v>2.96452715899795</v>
      </c>
      <c r="U10" s="5" t="str">
        <f aca="false">IF(N(E10)&gt;0,E10,"")</f>
        <v/>
      </c>
      <c r="V10" s="6"/>
      <c r="W10" s="5" t="str">
        <f aca="false">IF(N(B10)=0,"",IFERROR(B10/V10,""))</f>
        <v/>
      </c>
      <c r="X10" s="6"/>
      <c r="Y10" s="5" t="str">
        <f aca="false">IF(N(H10)=0,"",IFERROR(H10/X10,""))</f>
        <v/>
      </c>
      <c r="Z10" s="5" t="n">
        <f aca="false">N(C10)+N(F10)+N(T10)+N(U10)+N(S10)+N(W10)+N(Y10)</f>
        <v>2.96452715899795</v>
      </c>
    </row>
    <row r="11" customFormat="false" ht="15" hidden="false" customHeight="true" outlineLevel="0" collapsed="false">
      <c r="A11" s="2" t="s">
        <v>28</v>
      </c>
      <c r="D11" s="1" t="n">
        <v>78.3011655220762</v>
      </c>
      <c r="G11" s="1" t="n">
        <v>0.122541526332498</v>
      </c>
      <c r="I11" s="1" t="n">
        <v>78.4237070484087</v>
      </c>
      <c r="L11" s="1" t="n">
        <v>65099</v>
      </c>
      <c r="O11" s="1" t="n">
        <v>8</v>
      </c>
      <c r="Q11" s="1" t="n">
        <v>65107</v>
      </c>
      <c r="R11" s="4" t="n">
        <v>85</v>
      </c>
      <c r="S11" s="5" t="n">
        <f aca="false">IF(OR(N(G11)=0,$R11=""),"",IFERROR(G11/INDEX(Ratios!$B$2:$F$79,MATCH($A11,Ratios!$A$2:$A$79,0),MATCH($R11,Ratios!$B$1:$F$1,0)),"ratio inconnu"))</f>
        <v>0.00708086942866624</v>
      </c>
      <c r="T11" s="5" t="n">
        <f aca="false">IF(N(D11)&gt;0,D11,"")</f>
        <v>78.3011655220762</v>
      </c>
      <c r="U11" s="5" t="str">
        <f aca="false">IF(N(E11)&gt;0,E11,"")</f>
        <v/>
      </c>
      <c r="V11" s="6"/>
      <c r="W11" s="5" t="str">
        <f aca="false">IF(N(B11)=0,"",IFERROR(B11/V11,""))</f>
        <v/>
      </c>
      <c r="X11" s="6"/>
      <c r="Y11" s="5" t="str">
        <f aca="false">IF(N(H11)=0,"",IFERROR(H11/X11,""))</f>
        <v/>
      </c>
      <c r="Z11" s="5" t="n">
        <f aca="false">N(C11)+N(F11)+N(T11)+N(U11)+N(S11)+N(W11)+N(Y11)</f>
        <v>78.3082463915049</v>
      </c>
    </row>
    <row r="12" customFormat="false" ht="15" hidden="false" customHeight="true" outlineLevel="0" collapsed="false">
      <c r="A12" s="2" t="s">
        <v>29</v>
      </c>
      <c r="D12" s="1" t="n">
        <v>7.84886560495943</v>
      </c>
      <c r="G12" s="1" t="n">
        <v>60.3657056605443</v>
      </c>
      <c r="I12" s="1" t="n">
        <v>68.2145712655038</v>
      </c>
      <c r="L12" s="1" t="n">
        <v>162</v>
      </c>
      <c r="O12" s="1" t="n">
        <v>506</v>
      </c>
      <c r="Q12" s="1" t="n">
        <v>668</v>
      </c>
      <c r="R12" s="4" t="n">
        <v>85</v>
      </c>
      <c r="S12" s="5" t="n">
        <f aca="false">IF(OR(N(G12)=0,$R12=""),"",IFERROR(G12/INDEX(Ratios!$B$2:$F$79,MATCH($A12,Ratios!$A$2:$A$79,0),MATCH($R12,Ratios!$B$1:$F$1,0)),"ratio inconnu"))</f>
        <v>3.97456581910352</v>
      </c>
      <c r="T12" s="5" t="n">
        <f aca="false">IF(N(D12)&gt;0,D12,"")</f>
        <v>7.84886560495943</v>
      </c>
      <c r="U12" s="5" t="str">
        <f aca="false">IF(N(E12)&gt;0,E12,"")</f>
        <v/>
      </c>
      <c r="V12" s="6"/>
      <c r="W12" s="5" t="str">
        <f aca="false">IF(N(B12)=0,"",IFERROR(B12/V12,""))</f>
        <v/>
      </c>
      <c r="X12" s="6"/>
      <c r="Y12" s="5" t="str">
        <f aca="false">IF(N(H12)=0,"",IFERROR(H12/X12,""))</f>
        <v/>
      </c>
      <c r="Z12" s="5" t="n">
        <f aca="false">N(C12)+N(F12)+N(T12)+N(U12)+N(S12)+N(W12)+N(Y12)</f>
        <v>11.823431424063</v>
      </c>
    </row>
    <row r="13" customFormat="false" ht="15" hidden="false" customHeight="true" outlineLevel="0" collapsed="false">
      <c r="A13" s="2" t="s">
        <v>30</v>
      </c>
      <c r="E13" s="1" t="n">
        <v>2.26424440089613</v>
      </c>
      <c r="G13" s="1" t="n">
        <v>412.469787714072</v>
      </c>
      <c r="I13" s="1" t="n">
        <v>414.734032114968</v>
      </c>
      <c r="M13" s="1" t="n">
        <v>18409</v>
      </c>
      <c r="O13" s="1" t="n">
        <v>18408</v>
      </c>
      <c r="Q13" s="1" t="n">
        <v>36817</v>
      </c>
      <c r="R13" s="4" t="n">
        <v>85</v>
      </c>
      <c r="S13" s="5" t="n">
        <f aca="false">IF(OR(N(G13)=0,$R13=""),"",IFERROR(G13/INDEX(Ratios!$B$2:$F$79,MATCH($A13,Ratios!$A$2:$A$79,0),MATCH($R13,Ratios!$B$1:$F$1,0)),"ratio inconnu"))</f>
        <v>31.8263725088019</v>
      </c>
      <c r="T13" s="5" t="str">
        <f aca="false">IF(N(D13)&gt;0,D13,"")</f>
        <v/>
      </c>
      <c r="U13" s="5" t="n">
        <f aca="false">IF(N(E13)&gt;0,E13,"")</f>
        <v>2.26424440089613</v>
      </c>
      <c r="V13" s="6"/>
      <c r="W13" s="5" t="str">
        <f aca="false">IF(N(B13)=0,"",IFERROR(B13/V13,""))</f>
        <v/>
      </c>
      <c r="X13" s="6"/>
      <c r="Y13" s="5" t="str">
        <f aca="false">IF(N(H13)=0,"",IFERROR(H13/X13,""))</f>
        <v/>
      </c>
      <c r="Z13" s="5" t="n">
        <f aca="false">N(C13)+N(F13)+N(T13)+N(U13)+N(S13)+N(W13)+N(Y13)</f>
        <v>34.090616909698</v>
      </c>
    </row>
    <row r="14" customFormat="false" ht="15" hidden="false" customHeight="true" outlineLevel="0" collapsed="false">
      <c r="A14" s="2" t="s">
        <v>31</v>
      </c>
      <c r="B14" s="1" t="n">
        <v>0.76029310375452</v>
      </c>
      <c r="D14" s="1" t="n">
        <v>0.31573411077261</v>
      </c>
      <c r="I14" s="1" t="n">
        <v>1.07602721452713</v>
      </c>
      <c r="J14" s="1" t="n">
        <v>76</v>
      </c>
      <c r="L14" s="1" t="n">
        <v>70</v>
      </c>
      <c r="Q14" s="1" t="n">
        <v>146</v>
      </c>
      <c r="R14" s="6"/>
      <c r="S14" s="5" t="str">
        <f aca="false">IF(OR(N(G14)=0,$R14=""),"",IFERROR(G14/INDEX(Ratios!$B$2:$F$79,MATCH($A14,Ratios!$A$2:$A$79,0),MATCH($R14,Ratios!$B$1:$F$1,0)),"ratio inconnu"))</f>
        <v/>
      </c>
      <c r="T14" s="5" t="n">
        <f aca="false">IF(N(D14)&gt;0,D14,"")</f>
        <v>0.31573411077261</v>
      </c>
      <c r="U14" s="5" t="str">
        <f aca="false">IF(N(E14)&gt;0,E14,"")</f>
        <v/>
      </c>
      <c r="V14" s="4" t="n">
        <v>7</v>
      </c>
      <c r="W14" s="5" t="n">
        <f aca="false">IF(N(B14)=0,"",IFERROR(B14/V14,""))</f>
        <v>0.10861330053636</v>
      </c>
      <c r="X14" s="6"/>
      <c r="Y14" s="5" t="str">
        <f aca="false">IF(N(H14)=0,"",IFERROR(H14/X14,""))</f>
        <v/>
      </c>
      <c r="Z14" s="5" t="n">
        <f aca="false">N(C14)+N(F14)+N(T14)+N(U14)+N(S14)+N(W14)+N(Y14)</f>
        <v>0.42434741130897</v>
      </c>
    </row>
    <row r="15" customFormat="false" ht="15" hidden="false" customHeight="true" outlineLevel="0" collapsed="false">
      <c r="A15" s="2" t="s">
        <v>32</v>
      </c>
      <c r="G15" s="1" t="n">
        <v>6.1954353582114</v>
      </c>
      <c r="I15" s="1" t="n">
        <v>6.1954353582114</v>
      </c>
      <c r="O15" s="1" t="n">
        <v>242</v>
      </c>
      <c r="Q15" s="1" t="n">
        <v>242</v>
      </c>
      <c r="R15" s="4" t="n">
        <v>85</v>
      </c>
      <c r="S15" s="5" t="n">
        <f aca="false">IF(OR(N(G15)=0,$R15=""),"",IFERROR(G15/INDEX(Ratios!$B$2:$F$79,MATCH($A15,Ratios!$A$2:$A$79,0),MATCH($R15,Ratios!$B$1:$F$1,0)),"ratio inconnu"))</f>
        <v>0.323352576107067</v>
      </c>
      <c r="T15" s="5" t="str">
        <f aca="false">IF(N(D15)&gt;0,D15,"")</f>
        <v/>
      </c>
      <c r="U15" s="5" t="str">
        <f aca="false">IF(N(E15)&gt;0,E15,"")</f>
        <v/>
      </c>
      <c r="V15" s="6"/>
      <c r="W15" s="5" t="str">
        <f aca="false">IF(N(B15)=0,"",IFERROR(B15/V15,""))</f>
        <v/>
      </c>
      <c r="X15" s="6"/>
      <c r="Y15" s="5" t="str">
        <f aca="false">IF(N(H15)=0,"",IFERROR(H15/X15,""))</f>
        <v/>
      </c>
      <c r="Z15" s="5" t="n">
        <f aca="false">N(C15)+N(F15)+N(T15)+N(U15)+N(S15)+N(W15)+N(Y15)</f>
        <v>0.323352576107067</v>
      </c>
    </row>
    <row r="16" customFormat="false" ht="15" hidden="false" customHeight="true" outlineLevel="0" collapsed="false">
      <c r="A16" s="2" t="s">
        <v>33</v>
      </c>
      <c r="G16" s="1" t="n">
        <v>30.3245517127216</v>
      </c>
      <c r="I16" s="1" t="n">
        <v>30.3245517127216</v>
      </c>
      <c r="O16" s="1" t="n">
        <v>1145</v>
      </c>
      <c r="Q16" s="1" t="n">
        <v>1145</v>
      </c>
      <c r="R16" s="4" t="n">
        <v>85</v>
      </c>
      <c r="S16" s="5" t="n">
        <f aca="false">IF(OR(N(G16)=0,$R16=""),"",IFERROR(G16/INDEX(Ratios!$B$2:$F$79,MATCH($A16,Ratios!$A$2:$A$79,0),MATCH($R16,Ratios!$B$1:$F$1,0)),"ratio inconnu"))</f>
        <v>1.71112468754777</v>
      </c>
      <c r="T16" s="5" t="str">
        <f aca="false">IF(N(D16)&gt;0,D16,"")</f>
        <v/>
      </c>
      <c r="U16" s="5" t="str">
        <f aca="false">IF(N(E16)&gt;0,E16,"")</f>
        <v/>
      </c>
      <c r="V16" s="6"/>
      <c r="W16" s="5" t="str">
        <f aca="false">IF(N(B16)=0,"",IFERROR(B16/V16,""))</f>
        <v/>
      </c>
      <c r="X16" s="6"/>
      <c r="Y16" s="5" t="str">
        <f aca="false">IF(N(H16)=0,"",IFERROR(H16/X16,""))</f>
        <v/>
      </c>
      <c r="Z16" s="5" t="n">
        <f aca="false">N(C16)+N(F16)+N(T16)+N(U16)+N(S16)+N(W16)+N(Y16)</f>
        <v>1.71112468754777</v>
      </c>
    </row>
    <row r="17" customFormat="false" ht="15" hidden="false" customHeight="true" outlineLevel="0" collapsed="false">
      <c r="A17" s="2" t="s">
        <v>34</v>
      </c>
      <c r="G17" s="1" t="n">
        <v>17.0703327003866</v>
      </c>
      <c r="I17" s="1" t="n">
        <v>17.0703327003866</v>
      </c>
      <c r="O17" s="1" t="n">
        <v>3811</v>
      </c>
      <c r="Q17" s="1" t="n">
        <v>3811</v>
      </c>
      <c r="R17" s="4" t="n">
        <v>85</v>
      </c>
      <c r="S17" s="5" t="n">
        <f aca="false">IF(OR(N(G17)=0,$R17=""),"",IFERROR(G17/INDEX(Ratios!$B$2:$F$79,MATCH($A17,Ratios!$A$2:$A$79,0),MATCH($R17,Ratios!$B$1:$F$1,0)),"ratio inconnu"))</f>
        <v>12.5609512144125</v>
      </c>
      <c r="T17" s="5" t="str">
        <f aca="false">IF(N(D17)&gt;0,D17,"")</f>
        <v/>
      </c>
      <c r="U17" s="5" t="str">
        <f aca="false">IF(N(E17)&gt;0,E17,"")</f>
        <v/>
      </c>
      <c r="V17" s="6"/>
      <c r="W17" s="5" t="str">
        <f aca="false">IF(N(B17)=0,"",IFERROR(B17/V17,""))</f>
        <v/>
      </c>
      <c r="X17" s="6"/>
      <c r="Y17" s="5" t="str">
        <f aca="false">IF(N(H17)=0,"",IFERROR(H17/X17,""))</f>
        <v/>
      </c>
      <c r="Z17" s="5" t="n">
        <f aca="false">N(C17)+N(F17)+N(T17)+N(U17)+N(S17)+N(W17)+N(Y17)</f>
        <v>12.5609512144125</v>
      </c>
    </row>
    <row r="18" customFormat="false" ht="15" hidden="false" customHeight="true" outlineLevel="0" collapsed="false">
      <c r="A18" s="2" t="s">
        <v>35</v>
      </c>
      <c r="H18" s="1" t="n">
        <v>67.7356980219483</v>
      </c>
      <c r="I18" s="1" t="n">
        <v>67.7356980219483</v>
      </c>
      <c r="P18" s="1" t="n">
        <v>17</v>
      </c>
      <c r="Q18" s="1" t="n">
        <v>17</v>
      </c>
      <c r="R18" s="6"/>
      <c r="S18" s="5" t="str">
        <f aca="false">IF(OR(N(G18)=0,$R18=""),"",IFERROR(G18/INDEX(Ratios!$B$2:$F$79,MATCH($A18,Ratios!$A$2:$A$79,0),MATCH($R18,Ratios!$B$1:$F$1,0)),"ratio inconnu"))</f>
        <v/>
      </c>
      <c r="T18" s="5" t="str">
        <f aca="false">IF(N(D18)&gt;0,D18,"")</f>
        <v/>
      </c>
      <c r="U18" s="5" t="str">
        <f aca="false">IF(N(E18)&gt;0,E18,"")</f>
        <v/>
      </c>
      <c r="V18" s="6"/>
      <c r="W18" s="5" t="str">
        <f aca="false">IF(N(B18)=0,"",IFERROR(B18/V18,""))</f>
        <v/>
      </c>
      <c r="X18" s="4" t="n">
        <v>20</v>
      </c>
      <c r="Y18" s="5" t="n">
        <f aca="false">IF(N(H18)=0,"",IFERROR(H18/X18,""))</f>
        <v>3.38678490109742</v>
      </c>
      <c r="Z18" s="5" t="n">
        <f aca="false">N(C18)+N(F18)+N(T18)+N(U18)+N(S18)+N(W18)+N(Y18)</f>
        <v>3.38678490109742</v>
      </c>
    </row>
    <row r="19" customFormat="false" ht="15" hidden="false" customHeight="true" outlineLevel="0" collapsed="false">
      <c r="A19" s="2" t="s">
        <v>36</v>
      </c>
      <c r="G19" s="1" t="n">
        <v>293.774388960563</v>
      </c>
      <c r="I19" s="1" t="n">
        <v>293.774388960563</v>
      </c>
      <c r="O19" s="1" t="n">
        <v>4147</v>
      </c>
      <c r="Q19" s="1" t="n">
        <v>4147</v>
      </c>
      <c r="R19" s="4" t="n">
        <v>85</v>
      </c>
      <c r="S19" s="5" t="n">
        <f aca="false">IF(OR(N(G19)=0,$R19=""),"",IFERROR(G19/INDEX(Ratios!$B$2:$F$79,MATCH($A19,Ratios!$A$2:$A$79,0),MATCH($R19,Ratios!$B$1:$F$1,0)),"ratio inconnu"))</f>
        <v>24.1551051603818</v>
      </c>
      <c r="T19" s="5" t="str">
        <f aca="false">IF(N(D19)&gt;0,D19,"")</f>
        <v/>
      </c>
      <c r="U19" s="5" t="str">
        <f aca="false">IF(N(E19)&gt;0,E19,"")</f>
        <v/>
      </c>
      <c r="V19" s="6"/>
      <c r="W19" s="5" t="str">
        <f aca="false">IF(N(B19)=0,"",IFERROR(B19/V19,""))</f>
        <v/>
      </c>
      <c r="X19" s="6"/>
      <c r="Y19" s="5" t="str">
        <f aca="false">IF(N(H19)=0,"",IFERROR(H19/X19,""))</f>
        <v/>
      </c>
      <c r="Z19" s="5" t="n">
        <f aca="false">N(C19)+N(F19)+N(T19)+N(U19)+N(S19)+N(W19)+N(Y19)</f>
        <v>24.1551051603818</v>
      </c>
    </row>
    <row r="20" customFormat="false" ht="15" hidden="false" customHeight="true" outlineLevel="0" collapsed="false">
      <c r="A20" s="2" t="s">
        <v>37</v>
      </c>
      <c r="G20" s="1" t="n">
        <v>8.15663065388799</v>
      </c>
      <c r="I20" s="1" t="n">
        <v>8.15663065388799</v>
      </c>
      <c r="O20" s="1" t="n">
        <v>360</v>
      </c>
      <c r="Q20" s="1" t="n">
        <v>360</v>
      </c>
      <c r="R20" s="4" t="n">
        <v>85</v>
      </c>
      <c r="S20" s="5" t="n">
        <f aca="false">IF(OR(N(G20)=0,$R20=""),"",IFERROR(G20/INDEX(Ratios!$B$2:$F$79,MATCH($A20,Ratios!$A$2:$A$79,0),MATCH($R20,Ratios!$B$1:$F$1,0)),"ratio inconnu"))</f>
        <v>0.608658357875382</v>
      </c>
      <c r="T20" s="5" t="str">
        <f aca="false">IF(N(D20)&gt;0,D20,"")</f>
        <v/>
      </c>
      <c r="U20" s="5" t="str">
        <f aca="false">IF(N(E20)&gt;0,E20,"")</f>
        <v/>
      </c>
      <c r="V20" s="6"/>
      <c r="W20" s="5" t="str">
        <f aca="false">IF(N(B20)=0,"",IFERROR(B20/V20,""))</f>
        <v/>
      </c>
      <c r="X20" s="6"/>
      <c r="Y20" s="5" t="str">
        <f aca="false">IF(N(H20)=0,"",IFERROR(H20/X20,""))</f>
        <v/>
      </c>
      <c r="Z20" s="5" t="n">
        <f aca="false">N(C20)+N(F20)+N(T20)+N(U20)+N(S20)+N(W20)+N(Y20)</f>
        <v>0.608658357875382</v>
      </c>
    </row>
    <row r="21" customFormat="false" ht="15" hidden="false" customHeight="true" outlineLevel="0" collapsed="false">
      <c r="A21" s="2" t="s">
        <v>38</v>
      </c>
      <c r="D21" s="1" t="n">
        <v>0.123594260774553</v>
      </c>
      <c r="G21" s="1" t="n">
        <v>25.3363490654156</v>
      </c>
      <c r="I21" s="1" t="n">
        <v>25.4599433261901</v>
      </c>
      <c r="L21" s="1" t="n">
        <v>174</v>
      </c>
      <c r="O21" s="1" t="n">
        <v>4489</v>
      </c>
      <c r="Q21" s="1" t="n">
        <v>4663</v>
      </c>
      <c r="R21" s="4" t="n">
        <v>85</v>
      </c>
      <c r="S21" s="5" t="n">
        <f aca="false">IF(OR(N(G21)=0,$R21=""),"",IFERROR(G21/INDEX(Ratios!$B$2:$F$79,MATCH($A21,Ratios!$A$2:$A$79,0),MATCH($R21,Ratios!$B$1:$F$1,0)),"ratio inconnu"))</f>
        <v>1.78098896846729</v>
      </c>
      <c r="T21" s="5" t="n">
        <f aca="false">IF(N(D21)&gt;0,D21,"")</f>
        <v>0.123594260774553</v>
      </c>
      <c r="U21" s="5" t="str">
        <f aca="false">IF(N(E21)&gt;0,E21,"")</f>
        <v/>
      </c>
      <c r="V21" s="6"/>
      <c r="W21" s="5" t="str">
        <f aca="false">IF(N(B21)=0,"",IFERROR(B21/V21,""))</f>
        <v/>
      </c>
      <c r="X21" s="6"/>
      <c r="Y21" s="5" t="str">
        <f aca="false">IF(N(H21)=0,"",IFERROR(H21/X21,""))</f>
        <v/>
      </c>
      <c r="Z21" s="5" t="n">
        <f aca="false">N(C21)+N(F21)+N(T21)+N(U21)+N(S21)+N(W21)+N(Y21)</f>
        <v>1.90458322924184</v>
      </c>
    </row>
    <row r="22" customFormat="false" ht="15" hidden="false" customHeight="true" outlineLevel="0" collapsed="false">
      <c r="A22" s="2" t="s">
        <v>39</v>
      </c>
      <c r="G22" s="1" t="n">
        <v>9.36540128197521</v>
      </c>
      <c r="I22" s="1" t="n">
        <v>9.36540128197521</v>
      </c>
      <c r="O22" s="1" t="n">
        <v>840</v>
      </c>
      <c r="Q22" s="1" t="n">
        <v>840</v>
      </c>
      <c r="R22" s="4" t="n">
        <v>85</v>
      </c>
      <c r="S22" s="5" t="n">
        <f aca="false">IF(OR(N(G22)=0,$R22=""),"",IFERROR(G22/INDEX(Ratios!$B$2:$F$79,MATCH($A22,Ratios!$A$2:$A$79,0),MATCH($R22,Ratios!$B$1:$F$1,0)),"ratio inconnu"))</f>
        <v>0.428700965026788</v>
      </c>
      <c r="T22" s="5" t="str">
        <f aca="false">IF(N(D22)&gt;0,D22,"")</f>
        <v/>
      </c>
      <c r="U22" s="5" t="str">
        <f aca="false">IF(N(E22)&gt;0,E22,"")</f>
        <v/>
      </c>
      <c r="V22" s="6"/>
      <c r="W22" s="5" t="str">
        <f aca="false">IF(N(B22)=0,"",IFERROR(B22/V22,""))</f>
        <v/>
      </c>
      <c r="X22" s="6"/>
      <c r="Y22" s="5" t="str">
        <f aca="false">IF(N(H22)=0,"",IFERROR(H22/X22,""))</f>
        <v/>
      </c>
      <c r="Z22" s="5" t="n">
        <f aca="false">N(C22)+N(F22)+N(T22)+N(U22)+N(S22)+N(W22)+N(Y22)</f>
        <v>0.428700965026788</v>
      </c>
    </row>
    <row r="23" customFormat="false" ht="15" hidden="false" customHeight="true" outlineLevel="0" collapsed="false">
      <c r="A23" s="2" t="s">
        <v>40</v>
      </c>
      <c r="G23" s="1" t="n">
        <v>0.0357619263231754</v>
      </c>
      <c r="I23" s="1" t="n">
        <v>0.0357619263231754</v>
      </c>
      <c r="O23" s="1" t="n">
        <v>1</v>
      </c>
      <c r="Q23" s="1" t="n">
        <v>1</v>
      </c>
      <c r="R23" s="4" t="n">
        <v>85</v>
      </c>
      <c r="S23" s="5" t="n">
        <f aca="false">IF(OR(N(G23)=0,$R23=""),"",IFERROR(G23/INDEX(Ratios!$B$2:$F$79,MATCH($A23,Ratios!$A$2:$A$79,0),MATCH($R23,Ratios!$B$1:$F$1,0)),"ratio inconnu"))</f>
        <v>0.00179672057491838</v>
      </c>
      <c r="T23" s="5" t="str">
        <f aca="false">IF(N(D23)&gt;0,D23,"")</f>
        <v/>
      </c>
      <c r="U23" s="5" t="str">
        <f aca="false">IF(N(E23)&gt;0,E23,"")</f>
        <v/>
      </c>
      <c r="V23" s="6"/>
      <c r="W23" s="5" t="str">
        <f aca="false">IF(N(B23)=0,"",IFERROR(B23/V23,""))</f>
        <v/>
      </c>
      <c r="X23" s="6"/>
      <c r="Y23" s="5" t="str">
        <f aca="false">IF(N(H23)=0,"",IFERROR(H23/X23,""))</f>
        <v/>
      </c>
      <c r="Z23" s="5" t="n">
        <f aca="false">N(C23)+N(F23)+N(T23)+N(U23)+N(S23)+N(W23)+N(Y23)</f>
        <v>0.00179672057491838</v>
      </c>
    </row>
    <row r="24" customFormat="false" ht="15" hidden="false" customHeight="true" outlineLevel="0" collapsed="false">
      <c r="A24" s="2" t="s">
        <v>41</v>
      </c>
      <c r="B24" s="1" t="n">
        <v>0.143792839720845</v>
      </c>
      <c r="D24" s="1" t="n">
        <v>0.00350884348154068</v>
      </c>
      <c r="I24" s="1" t="n">
        <v>0.147301683202386</v>
      </c>
      <c r="J24" s="1" t="n">
        <v>3</v>
      </c>
      <c r="L24" s="1" t="n">
        <v>3</v>
      </c>
      <c r="Q24" s="1" t="n">
        <v>6</v>
      </c>
      <c r="R24" s="6"/>
      <c r="S24" s="5" t="str">
        <f aca="false">IF(OR(N(G24)=0,$R24=""),"",IFERROR(G24/INDEX(Ratios!$B$2:$F$79,MATCH($A24,Ratios!$A$2:$A$79,0),MATCH($R24,Ratios!$B$1:$F$1,0)),"ratio inconnu"))</f>
        <v/>
      </c>
      <c r="T24" s="5" t="n">
        <f aca="false">IF(N(D24)&gt;0,D24,"")</f>
        <v>0.00350884348154068</v>
      </c>
      <c r="U24" s="5" t="str">
        <f aca="false">IF(N(E24)&gt;0,E24,"")</f>
        <v/>
      </c>
      <c r="V24" s="4" t="n">
        <v>7</v>
      </c>
      <c r="W24" s="5" t="n">
        <f aca="false">IF(N(B24)=0,"",IFERROR(B24/V24,""))</f>
        <v>0.020541834245835</v>
      </c>
      <c r="X24" s="6"/>
      <c r="Y24" s="5" t="str">
        <f aca="false">IF(N(H24)=0,"",IFERROR(H24/X24,""))</f>
        <v/>
      </c>
      <c r="Z24" s="5" t="n">
        <f aca="false">N(C24)+N(F24)+N(T24)+N(U24)+N(S24)+N(W24)+N(Y24)</f>
        <v>0.0240506777273757</v>
      </c>
    </row>
    <row r="25" customFormat="false" ht="15" hidden="false" customHeight="true" outlineLevel="0" collapsed="false">
      <c r="A25" s="2" t="s">
        <v>42</v>
      </c>
      <c r="D25" s="1" t="n">
        <v>0.519053059630096</v>
      </c>
      <c r="G25" s="1" t="n">
        <v>68.2520087072626</v>
      </c>
      <c r="I25" s="1" t="n">
        <v>68.7710617668927</v>
      </c>
      <c r="L25" s="1" t="n">
        <v>180</v>
      </c>
      <c r="O25" s="1" t="n">
        <v>5593</v>
      </c>
      <c r="Q25" s="1" t="n">
        <v>5773</v>
      </c>
      <c r="R25" s="4" t="n">
        <v>85</v>
      </c>
      <c r="S25" s="5" t="n">
        <f aca="false">IF(OR(N(G25)=0,$R25=""),"",IFERROR(G25/INDEX(Ratios!$B$2:$F$79,MATCH($A25,Ratios!$A$2:$A$79,0),MATCH($R25,Ratios!$B$1:$F$1,0)),"ratio inconnu"))</f>
        <v>7.36744480864234</v>
      </c>
      <c r="T25" s="5" t="n">
        <f aca="false">IF(N(D25)&gt;0,D25,"")</f>
        <v>0.519053059630096</v>
      </c>
      <c r="U25" s="5" t="str">
        <f aca="false">IF(N(E25)&gt;0,E25,"")</f>
        <v/>
      </c>
      <c r="V25" s="6"/>
      <c r="W25" s="5" t="str">
        <f aca="false">IF(N(B25)=0,"",IFERROR(B25/V25,""))</f>
        <v/>
      </c>
      <c r="X25" s="6"/>
      <c r="Y25" s="5" t="str">
        <f aca="false">IF(N(H25)=0,"",IFERROR(H25/X25,""))</f>
        <v/>
      </c>
      <c r="Z25" s="5" t="n">
        <f aca="false">N(C25)+N(F25)+N(T25)+N(U25)+N(S25)+N(W25)+N(Y25)</f>
        <v>7.88649786827243</v>
      </c>
    </row>
    <row r="26" customFormat="false" ht="15" hidden="false" customHeight="true" outlineLevel="0" collapsed="false">
      <c r="A26" s="2" t="s">
        <v>43</v>
      </c>
      <c r="G26" s="1" t="n">
        <v>11.0581364780664</v>
      </c>
      <c r="I26" s="1" t="n">
        <v>11.0581364780664</v>
      </c>
      <c r="O26" s="1" t="n">
        <v>559</v>
      </c>
      <c r="Q26" s="1" t="n">
        <v>559</v>
      </c>
      <c r="R26" s="4" t="n">
        <v>85</v>
      </c>
      <c r="S26" s="5" t="n">
        <f aca="false">IF(OR(N(G26)=0,$R26=""),"",IFERROR(G26/INDEX(Ratios!$B$2:$F$79,MATCH($A26,Ratios!$A$2:$A$79,0),MATCH($R26,Ratios!$B$1:$F$1,0)),"ratio inconnu"))</f>
        <v>0.960074359964091</v>
      </c>
      <c r="T26" s="5" t="str">
        <f aca="false">IF(N(D26)&gt;0,D26,"")</f>
        <v/>
      </c>
      <c r="U26" s="5" t="str">
        <f aca="false">IF(N(E26)&gt;0,E26,"")</f>
        <v/>
      </c>
      <c r="V26" s="6"/>
      <c r="W26" s="5" t="str">
        <f aca="false">IF(N(B26)=0,"",IFERROR(B26/V26,""))</f>
        <v/>
      </c>
      <c r="X26" s="6"/>
      <c r="Y26" s="5" t="str">
        <f aca="false">IF(N(H26)=0,"",IFERROR(H26/X26,""))</f>
        <v/>
      </c>
      <c r="Z26" s="5" t="n">
        <f aca="false">N(C26)+N(F26)+N(T26)+N(U26)+N(S26)+N(W26)+N(Y26)</f>
        <v>0.960074359964091</v>
      </c>
    </row>
    <row r="27" customFormat="false" ht="15" hidden="false" customHeight="true" outlineLevel="0" collapsed="false">
      <c r="A27" s="2" t="s">
        <v>44</v>
      </c>
      <c r="G27" s="1" t="n">
        <v>3.42468625400215</v>
      </c>
      <c r="I27" s="1" t="n">
        <v>3.42468625400215</v>
      </c>
      <c r="O27" s="1" t="n">
        <v>62</v>
      </c>
      <c r="Q27" s="1" t="n">
        <v>62</v>
      </c>
      <c r="R27" s="4" t="n">
        <v>85</v>
      </c>
      <c r="S27" s="5" t="n">
        <f aca="false">IF(OR(N(G27)=0,$R27=""),"",IFERROR(G27/INDEX(Ratios!$B$2:$F$79,MATCH($A27,Ratios!$A$2:$A$79,0),MATCH($R27,Ratios!$B$1:$F$1,0)),"ratio inconnu"))</f>
        <v>0.278339259915649</v>
      </c>
      <c r="T27" s="5" t="str">
        <f aca="false">IF(N(D27)&gt;0,D27,"")</f>
        <v/>
      </c>
      <c r="U27" s="5" t="str">
        <f aca="false">IF(N(E27)&gt;0,E27,"")</f>
        <v/>
      </c>
      <c r="V27" s="6"/>
      <c r="W27" s="5" t="str">
        <f aca="false">IF(N(B27)=0,"",IFERROR(B27/V27,""))</f>
        <v/>
      </c>
      <c r="X27" s="6"/>
      <c r="Y27" s="5" t="str">
        <f aca="false">IF(N(H27)=0,"",IFERROR(H27/X27,""))</f>
        <v/>
      </c>
      <c r="Z27" s="5" t="n">
        <f aca="false">N(C27)+N(F27)+N(T27)+N(U27)+N(S27)+N(W27)+N(Y27)</f>
        <v>0.278339259915649</v>
      </c>
    </row>
    <row r="28" customFormat="false" ht="15" hidden="false" customHeight="true" outlineLevel="0" collapsed="false">
      <c r="A28" s="2" t="s">
        <v>45</v>
      </c>
      <c r="G28" s="1" t="n">
        <v>51.9608052959666</v>
      </c>
      <c r="I28" s="1" t="n">
        <v>51.9608052959666</v>
      </c>
      <c r="O28" s="1" t="n">
        <v>1384</v>
      </c>
      <c r="Q28" s="1" t="n">
        <v>1384</v>
      </c>
      <c r="R28" s="4" t="n">
        <v>85</v>
      </c>
      <c r="S28" s="5" t="n">
        <f aca="false">IF(OR(N(G28)=0,$R28=""),"",IFERROR(G28/INDEX(Ratios!$B$2:$F$79,MATCH($A28,Ratios!$A$2:$A$79,0),MATCH($R28,Ratios!$B$1:$F$1,0)),"ratio inconnu"))</f>
        <v>3.21977973081959</v>
      </c>
      <c r="T28" s="5" t="str">
        <f aca="false">IF(N(D28)&gt;0,D28,"")</f>
        <v/>
      </c>
      <c r="U28" s="5" t="str">
        <f aca="false">IF(N(E28)&gt;0,E28,"")</f>
        <v/>
      </c>
      <c r="V28" s="6"/>
      <c r="W28" s="5" t="str">
        <f aca="false">IF(N(B28)=0,"",IFERROR(B28/V28,""))</f>
        <v/>
      </c>
      <c r="X28" s="6"/>
      <c r="Y28" s="5" t="str">
        <f aca="false">IF(N(H28)=0,"",IFERROR(H28/X28,""))</f>
        <v/>
      </c>
      <c r="Z28" s="5" t="n">
        <f aca="false">N(C28)+N(F28)+N(T28)+N(U28)+N(S28)+N(W28)+N(Y28)</f>
        <v>3.21977973081959</v>
      </c>
    </row>
    <row r="29" customFormat="false" ht="15" hidden="false" customHeight="true" outlineLevel="0" collapsed="false">
      <c r="A29" s="2" t="s">
        <v>46</v>
      </c>
      <c r="D29" s="1" t="n">
        <v>0.225765538401902</v>
      </c>
      <c r="G29" s="1" t="n">
        <v>959.48758118134</v>
      </c>
      <c r="I29" s="1" t="n">
        <v>959.713346719742</v>
      </c>
      <c r="L29" s="1" t="n">
        <v>248</v>
      </c>
      <c r="O29" s="1" t="n">
        <v>33054</v>
      </c>
      <c r="Q29" s="1" t="n">
        <v>33302</v>
      </c>
      <c r="R29" s="4" t="n">
        <v>85</v>
      </c>
      <c r="S29" s="5" t="n">
        <f aca="false">IF(OR(N(G29)=0,$R29=""),"",IFERROR(G29/INDEX(Ratios!$B$2:$F$79,MATCH($A29,Ratios!$A$2:$A$79,0),MATCH($R29,Ratios!$B$1:$F$1,0)),"ratio inconnu"))</f>
        <v>75.8848134436365</v>
      </c>
      <c r="T29" s="5" t="n">
        <f aca="false">IF(N(D29)&gt;0,D29,"")</f>
        <v>0.225765538401902</v>
      </c>
      <c r="U29" s="5" t="str">
        <f aca="false">IF(N(E29)&gt;0,E29,"")</f>
        <v/>
      </c>
      <c r="V29" s="6"/>
      <c r="W29" s="5" t="str">
        <f aca="false">IF(N(B29)=0,"",IFERROR(B29/V29,""))</f>
        <v/>
      </c>
      <c r="X29" s="6"/>
      <c r="Y29" s="5" t="str">
        <f aca="false">IF(N(H29)=0,"",IFERROR(H29/X29,""))</f>
        <v/>
      </c>
      <c r="Z29" s="5" t="n">
        <f aca="false">N(C29)+N(F29)+N(T29)+N(U29)+N(S29)+N(W29)+N(Y29)</f>
        <v>76.1105789820384</v>
      </c>
    </row>
    <row r="30" customFormat="false" ht="15" hidden="false" customHeight="true" outlineLevel="0" collapsed="false">
      <c r="A30" s="2" t="s">
        <v>47</v>
      </c>
      <c r="C30" s="1" t="n">
        <v>0.00194323621690273</v>
      </c>
      <c r="D30" s="1" t="n">
        <v>4.90394157078117</v>
      </c>
      <c r="G30" s="1" t="n">
        <v>446.973541848362</v>
      </c>
      <c r="I30" s="1" t="n">
        <v>451.87942665536</v>
      </c>
      <c r="K30" s="1" t="n">
        <v>2</v>
      </c>
      <c r="L30" s="1" t="n">
        <v>4414</v>
      </c>
      <c r="O30" s="1" t="n">
        <v>16299</v>
      </c>
      <c r="Q30" s="1" t="n">
        <v>20715</v>
      </c>
      <c r="R30" s="4" t="n">
        <v>85</v>
      </c>
      <c r="S30" s="5" t="n">
        <f aca="false">IF(OR(N(G30)=0,$R30=""),"",IFERROR(G30/INDEX(Ratios!$B$2:$F$79,MATCH($A30,Ratios!$A$2:$A$79,0),MATCH($R30,Ratios!$B$1:$F$1,0)),"ratio inconnu"))</f>
        <v>26.0170862542702</v>
      </c>
      <c r="T30" s="5" t="n">
        <f aca="false">IF(N(D30)&gt;0,D30,"")</f>
        <v>4.90394157078117</v>
      </c>
      <c r="U30" s="5" t="str">
        <f aca="false">IF(N(E30)&gt;0,E30,"")</f>
        <v/>
      </c>
      <c r="V30" s="6"/>
      <c r="W30" s="5" t="str">
        <f aca="false">IF(N(B30)=0,"",IFERROR(B30/V30,""))</f>
        <v/>
      </c>
      <c r="X30" s="6"/>
      <c r="Y30" s="5" t="str">
        <f aca="false">IF(N(H30)=0,"",IFERROR(H30/X30,""))</f>
        <v/>
      </c>
      <c r="Z30" s="5" t="n">
        <f aca="false">N(C30)+N(F30)+N(T30)+N(U30)+N(S30)+N(W30)+N(Y30)</f>
        <v>30.9229710612683</v>
      </c>
    </row>
    <row r="31" customFormat="false" ht="15" hidden="false" customHeight="true" outlineLevel="0" collapsed="false">
      <c r="A31" s="2" t="s">
        <v>48</v>
      </c>
      <c r="C31" s="1" t="n">
        <v>0.0117071755230427</v>
      </c>
      <c r="D31" s="1" t="n">
        <v>4.04898508358747</v>
      </c>
      <c r="G31" s="1" t="n">
        <v>16.5656318990514</v>
      </c>
      <c r="I31" s="1" t="n">
        <v>20.6263241581619</v>
      </c>
      <c r="K31" s="1" t="n">
        <v>1</v>
      </c>
      <c r="L31" s="1" t="n">
        <v>274</v>
      </c>
      <c r="O31" s="1" t="n">
        <v>865</v>
      </c>
      <c r="Q31" s="1" t="n">
        <v>1140</v>
      </c>
      <c r="R31" s="4" t="n">
        <v>85</v>
      </c>
      <c r="S31" s="5" t="n">
        <f aca="false">IF(OR(N(G31)=0,$R31=""),"",IFERROR(G31/INDEX(Ratios!$B$2:$F$79,MATCH($A31,Ratios!$A$2:$A$79,0),MATCH($R31,Ratios!$B$1:$F$1,0)),"ratio inconnu"))</f>
        <v>0.670022322401367</v>
      </c>
      <c r="T31" s="5" t="n">
        <f aca="false">IF(N(D31)&gt;0,D31,"")</f>
        <v>4.04898508358747</v>
      </c>
      <c r="U31" s="5" t="str">
        <f aca="false">IF(N(E31)&gt;0,E31,"")</f>
        <v/>
      </c>
      <c r="V31" s="6"/>
      <c r="W31" s="5" t="str">
        <f aca="false">IF(N(B31)=0,"",IFERROR(B31/V31,""))</f>
        <v/>
      </c>
      <c r="X31" s="6"/>
      <c r="Y31" s="5" t="str">
        <f aca="false">IF(N(H31)=0,"",IFERROR(H31/X31,""))</f>
        <v/>
      </c>
      <c r="Z31" s="5" t="n">
        <f aca="false">N(C31)+N(F31)+N(T31)+N(U31)+N(S31)+N(W31)+N(Y31)</f>
        <v>4.73071458151188</v>
      </c>
    </row>
    <row r="32" customFormat="false" ht="15" hidden="false" customHeight="true" outlineLevel="0" collapsed="false">
      <c r="A32" s="2" t="s">
        <v>49</v>
      </c>
      <c r="G32" s="1" t="n">
        <v>31.4697682717815</v>
      </c>
      <c r="I32" s="1" t="n">
        <v>31.4697682717815</v>
      </c>
      <c r="O32" s="1" t="n">
        <v>271</v>
      </c>
      <c r="Q32" s="1" t="n">
        <v>271</v>
      </c>
      <c r="R32" s="4" t="n">
        <v>85</v>
      </c>
      <c r="S32" s="5" t="n">
        <f aca="false">IF(OR(N(G32)=0,$R32=""),"",IFERROR(G32/INDEX(Ratios!$B$2:$F$79,MATCH($A32,Ratios!$A$2:$A$79,0),MATCH($R32,Ratios!$B$1:$F$1,0)),"ratio inconnu"))</f>
        <v>2.51396135738788</v>
      </c>
      <c r="T32" s="5" t="str">
        <f aca="false">IF(N(D32)&gt;0,D32,"")</f>
        <v/>
      </c>
      <c r="U32" s="5" t="str">
        <f aca="false">IF(N(E32)&gt;0,E32,"")</f>
        <v/>
      </c>
      <c r="V32" s="6"/>
      <c r="W32" s="5" t="str">
        <f aca="false">IF(N(B32)=0,"",IFERROR(B32/V32,""))</f>
        <v/>
      </c>
      <c r="X32" s="6"/>
      <c r="Y32" s="5" t="str">
        <f aca="false">IF(N(H32)=0,"",IFERROR(H32/X32,""))</f>
        <v/>
      </c>
      <c r="Z32" s="5" t="n">
        <f aca="false">N(C32)+N(F32)+N(T32)+N(U32)+N(S32)+N(W32)+N(Y32)</f>
        <v>2.51396135738788</v>
      </c>
    </row>
    <row r="33" customFormat="false" ht="15" hidden="false" customHeight="true" outlineLevel="0" collapsed="false">
      <c r="A33" s="2" t="s">
        <v>50</v>
      </c>
      <c r="G33" s="1" t="n">
        <v>46.5269424170256</v>
      </c>
      <c r="I33" s="1" t="n">
        <v>46.5269424170256</v>
      </c>
      <c r="O33" s="1" t="n">
        <v>2419</v>
      </c>
      <c r="Q33" s="1" t="n">
        <v>2419</v>
      </c>
      <c r="R33" s="4" t="n">
        <v>85</v>
      </c>
      <c r="S33" s="5" t="n">
        <f aca="false">IF(OR(N(G33)=0,$R33=""),"",IFERROR(G33/INDEX(Ratios!$B$2:$F$79,MATCH($A33,Ratios!$A$2:$A$79,0),MATCH($R33,Ratios!$B$1:$F$1,0)),"ratio inconnu"))</f>
        <v>2.66294313284258</v>
      </c>
      <c r="T33" s="5" t="str">
        <f aca="false">IF(N(D33)&gt;0,D33,"")</f>
        <v/>
      </c>
      <c r="U33" s="5" t="str">
        <f aca="false">IF(N(E33)&gt;0,E33,"")</f>
        <v/>
      </c>
      <c r="V33" s="6"/>
      <c r="W33" s="5" t="str">
        <f aca="false">IF(N(B33)=0,"",IFERROR(B33/V33,""))</f>
        <v/>
      </c>
      <c r="X33" s="6"/>
      <c r="Y33" s="5" t="str">
        <f aca="false">IF(N(H33)=0,"",IFERROR(H33/X33,""))</f>
        <v/>
      </c>
      <c r="Z33" s="5" t="n">
        <f aca="false">N(C33)+N(F33)+N(T33)+N(U33)+N(S33)+N(W33)+N(Y33)</f>
        <v>2.66294313284258</v>
      </c>
    </row>
    <row r="34" customFormat="false" ht="15" hidden="false" customHeight="true" outlineLevel="0" collapsed="false">
      <c r="A34" s="2" t="s">
        <v>51</v>
      </c>
      <c r="G34" s="1" t="n">
        <v>747.332916081883</v>
      </c>
      <c r="I34" s="1" t="n">
        <v>747.332916081883</v>
      </c>
      <c r="O34" s="1" t="n">
        <v>31272</v>
      </c>
      <c r="Q34" s="1" t="n">
        <v>31272</v>
      </c>
      <c r="R34" s="4" t="n">
        <v>85</v>
      </c>
      <c r="S34" s="5" t="n">
        <f aca="false">IF(OR(N(G34)=0,$R34=""),"",IFERROR(G34/INDEX(Ratios!$B$2:$F$79,MATCH($A34,Ratios!$A$2:$A$79,0),MATCH($R34,Ratios!$B$1:$F$1,0)),"ratio inconnu"))</f>
        <v>41.9261102991239</v>
      </c>
      <c r="T34" s="5" t="str">
        <f aca="false">IF(N(D34)&gt;0,D34,"")</f>
        <v/>
      </c>
      <c r="U34" s="5" t="str">
        <f aca="false">IF(N(E34)&gt;0,E34,"")</f>
        <v/>
      </c>
      <c r="V34" s="6"/>
      <c r="W34" s="5" t="str">
        <f aca="false">IF(N(B34)=0,"",IFERROR(B34/V34,""))</f>
        <v/>
      </c>
      <c r="X34" s="6"/>
      <c r="Y34" s="5" t="str">
        <f aca="false">IF(N(H34)=0,"",IFERROR(H34/X34,""))</f>
        <v/>
      </c>
      <c r="Z34" s="5" t="n">
        <f aca="false">N(C34)+N(F34)+N(T34)+N(U34)+N(S34)+N(W34)+N(Y34)</f>
        <v>41.9261102991239</v>
      </c>
    </row>
    <row r="35" customFormat="false" ht="15" hidden="false" customHeight="true" outlineLevel="0" collapsed="false">
      <c r="A35" s="2" t="s">
        <v>52</v>
      </c>
      <c r="D35" s="1" t="n">
        <v>0.257537949830294</v>
      </c>
      <c r="G35" s="1" t="n">
        <v>1.16872278321534</v>
      </c>
      <c r="I35" s="1" t="n">
        <v>1.42626073304564</v>
      </c>
      <c r="L35" s="1" t="n">
        <v>95</v>
      </c>
      <c r="O35" s="1" t="n">
        <v>39</v>
      </c>
      <c r="Q35" s="1" t="n">
        <v>134</v>
      </c>
      <c r="R35" s="4" t="n">
        <v>85</v>
      </c>
      <c r="S35" s="5" t="n">
        <f aca="false">IF(OR(N(G35)=0,$R35=""),"",IFERROR(G35/INDEX(Ratios!$B$2:$F$79,MATCH($A35,Ratios!$A$2:$A$79,0),MATCH($R35,Ratios!$B$1:$F$1,0)),"ratio inconnu"))</f>
        <v>0.0607002588145497</v>
      </c>
      <c r="T35" s="5" t="n">
        <f aca="false">IF(N(D35)&gt;0,D35,"")</f>
        <v>0.257537949830294</v>
      </c>
      <c r="U35" s="5" t="str">
        <f aca="false">IF(N(E35)&gt;0,E35,"")</f>
        <v/>
      </c>
      <c r="V35" s="6"/>
      <c r="W35" s="5" t="str">
        <f aca="false">IF(N(B35)=0,"",IFERROR(B35/V35,""))</f>
        <v/>
      </c>
      <c r="X35" s="6"/>
      <c r="Y35" s="5" t="str">
        <f aca="false">IF(N(H35)=0,"",IFERROR(H35/X35,""))</f>
        <v/>
      </c>
      <c r="Z35" s="5" t="n">
        <f aca="false">N(C35)+N(F35)+N(T35)+N(U35)+N(S35)+N(W35)+N(Y35)</f>
        <v>0.318238208644844</v>
      </c>
    </row>
    <row r="36" customFormat="false" ht="15" hidden="false" customHeight="true" outlineLevel="0" collapsed="false">
      <c r="A36" s="2" t="s">
        <v>53</v>
      </c>
      <c r="D36" s="1" t="n">
        <v>2.15874923113734</v>
      </c>
      <c r="G36" s="1" t="n">
        <v>41.5033630598337</v>
      </c>
      <c r="I36" s="1" t="n">
        <v>43.662112290971</v>
      </c>
      <c r="L36" s="1" t="n">
        <v>355</v>
      </c>
      <c r="O36" s="1" t="n">
        <v>1504</v>
      </c>
      <c r="Q36" s="1" t="n">
        <v>1859</v>
      </c>
      <c r="R36" s="4" t="n">
        <v>85</v>
      </c>
      <c r="S36" s="5" t="n">
        <f aca="false">IF(OR(N(G36)=0,$R36=""),"",IFERROR(G36/INDEX(Ratios!$B$2:$F$79,MATCH($A36,Ratios!$A$2:$A$79,0),MATCH($R36,Ratios!$B$1:$F$1,0)),"ratio inconnu"))</f>
        <v>2.62812582699048</v>
      </c>
      <c r="T36" s="5" t="n">
        <f aca="false">IF(N(D36)&gt;0,D36,"")</f>
        <v>2.15874923113734</v>
      </c>
      <c r="U36" s="5" t="str">
        <f aca="false">IF(N(E36)&gt;0,E36,"")</f>
        <v/>
      </c>
      <c r="V36" s="6"/>
      <c r="W36" s="5" t="str">
        <f aca="false">IF(N(B36)=0,"",IFERROR(B36/V36,""))</f>
        <v/>
      </c>
      <c r="X36" s="6"/>
      <c r="Y36" s="5" t="str">
        <f aca="false">IF(N(H36)=0,"",IFERROR(H36/X36,""))</f>
        <v/>
      </c>
      <c r="Z36" s="5" t="n">
        <f aca="false">N(C36)+N(F36)+N(T36)+N(U36)+N(S36)+N(W36)+N(Y36)</f>
        <v>4.78687505812782</v>
      </c>
    </row>
    <row r="37" customFormat="false" ht="15" hidden="false" customHeight="true" outlineLevel="0" collapsed="false">
      <c r="A37" s="2" t="s">
        <v>54</v>
      </c>
      <c r="D37" s="1" t="n">
        <v>0.628919573500752</v>
      </c>
      <c r="F37" s="1" t="n">
        <v>0.562304542399943</v>
      </c>
      <c r="G37" s="1" t="n">
        <v>14.6818843595684</v>
      </c>
      <c r="I37" s="1" t="n">
        <v>15.8731084754691</v>
      </c>
      <c r="L37" s="1" t="n">
        <v>652</v>
      </c>
      <c r="N37" s="1" t="n">
        <v>31</v>
      </c>
      <c r="O37" s="1" t="n">
        <v>555</v>
      </c>
      <c r="Q37" s="1" t="n">
        <v>1238</v>
      </c>
      <c r="R37" s="4" t="n">
        <v>85</v>
      </c>
      <c r="S37" s="5" t="n">
        <f aca="false">IF(OR(N(G37)=0,$R37=""),"",IFERROR(G37/INDEX(Ratios!$B$2:$F$79,MATCH($A37,Ratios!$A$2:$A$79,0),MATCH($R37,Ratios!$B$1:$F$1,0)),"ratio inconnu"))</f>
        <v>1.05020632042692</v>
      </c>
      <c r="T37" s="5" t="n">
        <f aca="false">IF(N(D37)&gt;0,D37,"")</f>
        <v>0.628919573500752</v>
      </c>
      <c r="U37" s="5" t="str">
        <f aca="false">IF(N(E37)&gt;0,E37,"")</f>
        <v/>
      </c>
      <c r="V37" s="6"/>
      <c r="W37" s="5" t="str">
        <f aca="false">IF(N(B37)=0,"",IFERROR(B37/V37,""))</f>
        <v/>
      </c>
      <c r="X37" s="6"/>
      <c r="Y37" s="5" t="str">
        <f aca="false">IF(N(H37)=0,"",IFERROR(H37/X37,""))</f>
        <v/>
      </c>
      <c r="Z37" s="5" t="n">
        <f aca="false">N(C37)+N(F37)+N(T37)+N(U37)+N(S37)+N(W37)+N(Y37)</f>
        <v>2.24143043632762</v>
      </c>
    </row>
    <row r="38" customFormat="false" ht="15" hidden="false" customHeight="true" outlineLevel="0" collapsed="false">
      <c r="A38" s="2" t="s">
        <v>55</v>
      </c>
      <c r="E38" s="1" t="n">
        <v>45.1437529781833</v>
      </c>
      <c r="G38" s="1" t="n">
        <v>652.706009669229</v>
      </c>
      <c r="I38" s="1" t="n">
        <v>697.849762647413</v>
      </c>
      <c r="M38" s="1" t="n">
        <v>43519</v>
      </c>
      <c r="O38" s="1" t="n">
        <v>43991</v>
      </c>
      <c r="Q38" s="1" t="n">
        <v>87510</v>
      </c>
      <c r="R38" s="4" t="n">
        <v>85</v>
      </c>
      <c r="S38" s="5" t="n">
        <f aca="false">IF(OR(N(G38)=0,$R38=""),"",IFERROR(G38/INDEX(Ratios!$B$2:$F$79,MATCH($A38,Ratios!$A$2:$A$79,0),MATCH($R38,Ratios!$B$1:$F$1,0)),"ratio inconnu"))</f>
        <v>143.767843539478</v>
      </c>
      <c r="T38" s="5" t="str">
        <f aca="false">IF(N(D38)&gt;0,D38,"")</f>
        <v/>
      </c>
      <c r="U38" s="5" t="n">
        <f aca="false">IF(N(E38)&gt;0,E38,"")</f>
        <v>45.1437529781833</v>
      </c>
      <c r="V38" s="6"/>
      <c r="W38" s="5" t="str">
        <f aca="false">IF(N(B38)=0,"",IFERROR(B38/V38,""))</f>
        <v/>
      </c>
      <c r="X38" s="6"/>
      <c r="Y38" s="5" t="str">
        <f aca="false">IF(N(H38)=0,"",IFERROR(H38/X38,""))</f>
        <v/>
      </c>
      <c r="Z38" s="5" t="n">
        <f aca="false">N(C38)+N(F38)+N(T38)+N(U38)+N(S38)+N(W38)+N(Y38)</f>
        <v>188.911596517661</v>
      </c>
    </row>
    <row r="39" customFormat="false" ht="15" hidden="false" customHeight="true" outlineLevel="0" collapsed="false">
      <c r="A39" s="2" t="s">
        <v>56</v>
      </c>
      <c r="E39" s="1" t="n">
        <v>29.9053205400705</v>
      </c>
      <c r="G39" s="1" t="n">
        <v>738.204752897844</v>
      </c>
      <c r="I39" s="1" t="n">
        <v>768.110073437914</v>
      </c>
      <c r="M39" s="1" t="n">
        <v>24225</v>
      </c>
      <c r="O39" s="1" t="n">
        <v>24227</v>
      </c>
      <c r="Q39" s="1" t="n">
        <v>48452</v>
      </c>
      <c r="R39" s="4" t="n">
        <v>85</v>
      </c>
      <c r="S39" s="5" t="n">
        <f aca="false">IF(OR(N(G39)=0,$R39=""),"",IFERROR(G39/INDEX(Ratios!$B$2:$F$79,MATCH($A39,Ratios!$A$2:$A$79,0),MATCH($R39,Ratios!$B$1:$F$1,0)),"ratio inconnu"))</f>
        <v>126.08108503806</v>
      </c>
      <c r="T39" s="5" t="str">
        <f aca="false">IF(N(D39)&gt;0,D39,"")</f>
        <v/>
      </c>
      <c r="U39" s="5" t="n">
        <f aca="false">IF(N(E39)&gt;0,E39,"")</f>
        <v>29.9053205400705</v>
      </c>
      <c r="V39" s="6"/>
      <c r="W39" s="5" t="str">
        <f aca="false">IF(N(B39)=0,"",IFERROR(B39/V39,""))</f>
        <v/>
      </c>
      <c r="X39" s="6"/>
      <c r="Y39" s="5" t="str">
        <f aca="false">IF(N(H39)=0,"",IFERROR(H39/X39,""))</f>
        <v/>
      </c>
      <c r="Z39" s="5" t="n">
        <f aca="false">N(C39)+N(F39)+N(T39)+N(U39)+N(S39)+N(W39)+N(Y39)</f>
        <v>155.986405578131</v>
      </c>
    </row>
    <row r="40" customFormat="false" ht="15" hidden="false" customHeight="true" outlineLevel="0" collapsed="false">
      <c r="A40" s="2" t="s">
        <v>57</v>
      </c>
      <c r="E40" s="1" t="n">
        <v>1.27155008725822</v>
      </c>
      <c r="G40" s="1" t="n">
        <v>40.6590884998441</v>
      </c>
      <c r="I40" s="1" t="n">
        <v>41.9306385871023</v>
      </c>
      <c r="M40" s="1" t="n">
        <v>1438</v>
      </c>
      <c r="O40" s="1" t="n">
        <v>1438</v>
      </c>
      <c r="Q40" s="1" t="n">
        <v>2876</v>
      </c>
      <c r="R40" s="4" t="n">
        <v>85</v>
      </c>
      <c r="S40" s="5" t="n">
        <f aca="false">IF(OR(N(G40)=0,$R40=""),"",IFERROR(G40/INDEX(Ratios!$B$2:$F$79,MATCH($A40,Ratios!$A$2:$A$79,0),MATCH($R40,Ratios!$B$1:$F$1,0)),"ratio inconnu"))</f>
        <v>6.80372966864861</v>
      </c>
      <c r="T40" s="5" t="str">
        <f aca="false">IF(N(D40)&gt;0,D40,"")</f>
        <v/>
      </c>
      <c r="U40" s="5" t="n">
        <f aca="false">IF(N(E40)&gt;0,E40,"")</f>
        <v>1.27155008725822</v>
      </c>
      <c r="V40" s="6"/>
      <c r="W40" s="5" t="str">
        <f aca="false">IF(N(B40)=0,"",IFERROR(B40/V40,""))</f>
        <v/>
      </c>
      <c r="X40" s="6"/>
      <c r="Y40" s="5" t="str">
        <f aca="false">IF(N(H40)=0,"",IFERROR(H40/X40,""))</f>
        <v/>
      </c>
      <c r="Z40" s="5" t="n">
        <f aca="false">N(C40)+N(F40)+N(T40)+N(U40)+N(S40)+N(W40)+N(Y40)</f>
        <v>8.07527975590683</v>
      </c>
    </row>
    <row r="41" customFormat="false" ht="15" hidden="false" customHeight="true" outlineLevel="0" collapsed="false">
      <c r="A41" s="2" t="s">
        <v>58</v>
      </c>
      <c r="E41" s="1" t="n">
        <v>120.18408210855</v>
      </c>
      <c r="G41" s="1" t="n">
        <v>2646.26209056936</v>
      </c>
      <c r="I41" s="1" t="n">
        <v>2766.44617267791</v>
      </c>
      <c r="M41" s="1" t="n">
        <v>92469</v>
      </c>
      <c r="O41" s="1" t="n">
        <v>92934</v>
      </c>
      <c r="Q41" s="1" t="n">
        <v>185403</v>
      </c>
      <c r="R41" s="4" t="n">
        <v>85</v>
      </c>
      <c r="S41" s="5" t="n">
        <f aca="false">IF(OR(N(G41)=0,$R41=""),"",IFERROR(G41/INDEX(Ratios!$B$2:$F$79,MATCH($A41,Ratios!$A$2:$A$79,0),MATCH($R41,Ratios!$B$1:$F$1,0)),"ratio inconnu"))</f>
        <v>509.877088741688</v>
      </c>
      <c r="T41" s="5" t="str">
        <f aca="false">IF(N(D41)&gt;0,D41,"")</f>
        <v/>
      </c>
      <c r="U41" s="5" t="n">
        <f aca="false">IF(N(E41)&gt;0,E41,"")</f>
        <v>120.18408210855</v>
      </c>
      <c r="V41" s="6"/>
      <c r="W41" s="5" t="str">
        <f aca="false">IF(N(B41)=0,"",IFERROR(B41/V41,""))</f>
        <v/>
      </c>
      <c r="X41" s="6"/>
      <c r="Y41" s="5" t="str">
        <f aca="false">IF(N(H41)=0,"",IFERROR(H41/X41,""))</f>
        <v/>
      </c>
      <c r="Z41" s="5" t="n">
        <f aca="false">N(C41)+N(F41)+N(T41)+N(U41)+N(S41)+N(W41)+N(Y41)</f>
        <v>630.061170850238</v>
      </c>
    </row>
    <row r="42" customFormat="false" ht="15" hidden="false" customHeight="true" outlineLevel="0" collapsed="false">
      <c r="A42" s="2" t="s">
        <v>59</v>
      </c>
      <c r="E42" s="1" t="n">
        <v>11.1673972988501</v>
      </c>
      <c r="G42" s="1" t="n">
        <v>170.935647124425</v>
      </c>
      <c r="I42" s="1" t="n">
        <v>182.103044423275</v>
      </c>
      <c r="M42" s="1" t="n">
        <v>16307</v>
      </c>
      <c r="O42" s="1" t="n">
        <v>16358</v>
      </c>
      <c r="Q42" s="1" t="n">
        <v>32665</v>
      </c>
      <c r="R42" s="4" t="n">
        <v>85</v>
      </c>
      <c r="S42" s="5" t="n">
        <f aca="false">IF(OR(N(G42)=0,$R42=""),"",IFERROR(G42/INDEX(Ratios!$B$2:$F$79,MATCH($A42,Ratios!$A$2:$A$79,0),MATCH($R42,Ratios!$B$1:$F$1,0)),"ratio inconnu"))</f>
        <v>37.3384987165629</v>
      </c>
      <c r="T42" s="5" t="str">
        <f aca="false">IF(N(D42)&gt;0,D42,"")</f>
        <v/>
      </c>
      <c r="U42" s="5" t="n">
        <f aca="false">IF(N(E42)&gt;0,E42,"")</f>
        <v>11.1673972988501</v>
      </c>
      <c r="V42" s="6"/>
      <c r="W42" s="5" t="str">
        <f aca="false">IF(N(B42)=0,"",IFERROR(B42/V42,""))</f>
        <v/>
      </c>
      <c r="X42" s="6"/>
      <c r="Y42" s="5" t="str">
        <f aca="false">IF(N(H42)=0,"",IFERROR(H42/X42,""))</f>
        <v/>
      </c>
      <c r="Z42" s="5" t="n">
        <f aca="false">N(C42)+N(F42)+N(T42)+N(U42)+N(S42)+N(W42)+N(Y42)</f>
        <v>48.505896015413</v>
      </c>
    </row>
    <row r="43" customFormat="false" ht="15" hidden="false" customHeight="true" outlineLevel="0" collapsed="false">
      <c r="A43" s="2" t="s">
        <v>60</v>
      </c>
      <c r="E43" s="1" t="n">
        <v>201.739163101651</v>
      </c>
      <c r="G43" s="1" t="n">
        <v>3852.77572839148</v>
      </c>
      <c r="I43" s="1" t="n">
        <v>4054.51489149313</v>
      </c>
      <c r="M43" s="1" t="n">
        <v>142186</v>
      </c>
      <c r="O43" s="1" t="n">
        <v>142531</v>
      </c>
      <c r="Q43" s="1" t="n">
        <v>284717</v>
      </c>
      <c r="R43" s="4" t="n">
        <v>85</v>
      </c>
      <c r="S43" s="5" t="n">
        <f aca="false">IF(OR(N(G43)=0,$R43=""),"",IFERROR(G43/INDEX(Ratios!$B$2:$F$79,MATCH($A43,Ratios!$A$2:$A$79,0),MATCH($R43,Ratios!$B$1:$F$1,0)),"ratio inconnu"))</f>
        <v>926.59348927164</v>
      </c>
      <c r="T43" s="5" t="str">
        <f aca="false">IF(N(D43)&gt;0,D43,"")</f>
        <v/>
      </c>
      <c r="U43" s="5" t="n">
        <f aca="false">IF(N(E43)&gt;0,E43,"")</f>
        <v>201.739163101651</v>
      </c>
      <c r="V43" s="6"/>
      <c r="W43" s="5" t="str">
        <f aca="false">IF(N(B43)=0,"",IFERROR(B43/V43,""))</f>
        <v/>
      </c>
      <c r="X43" s="6"/>
      <c r="Y43" s="5" t="str">
        <f aca="false">IF(N(H43)=0,"",IFERROR(H43/X43,""))</f>
        <v/>
      </c>
      <c r="Z43" s="5" t="n">
        <f aca="false">N(C43)+N(F43)+N(T43)+N(U43)+N(S43)+N(W43)+N(Y43)</f>
        <v>1128.33265237329</v>
      </c>
    </row>
    <row r="44" customFormat="false" ht="15" hidden="false" customHeight="true" outlineLevel="0" collapsed="false">
      <c r="A44" s="2" t="s">
        <v>61</v>
      </c>
      <c r="E44" s="1" t="n">
        <v>1.00563189201057</v>
      </c>
      <c r="G44" s="1" t="n">
        <v>16.6102065648884</v>
      </c>
      <c r="I44" s="1" t="n">
        <v>17.6158384568989</v>
      </c>
      <c r="M44" s="1" t="n">
        <v>823</v>
      </c>
      <c r="O44" s="1" t="n">
        <v>848</v>
      </c>
      <c r="Q44" s="1" t="n">
        <v>1671</v>
      </c>
      <c r="R44" s="4" t="n">
        <v>85</v>
      </c>
      <c r="S44" s="5" t="n">
        <f aca="false">IF(OR(N(G44)=0,$R44=""),"",IFERROR(G44/INDEX(Ratios!$B$2:$F$79,MATCH($A44,Ratios!$A$2:$A$79,0),MATCH($R44,Ratios!$B$1:$F$1,0)),"ratio inconnu"))</f>
        <v>2.98637298901266</v>
      </c>
      <c r="T44" s="5" t="str">
        <f aca="false">IF(N(D44)&gt;0,D44,"")</f>
        <v/>
      </c>
      <c r="U44" s="5" t="n">
        <f aca="false">IF(N(E44)&gt;0,E44,"")</f>
        <v>1.00563189201057</v>
      </c>
      <c r="V44" s="6"/>
      <c r="W44" s="5" t="str">
        <f aca="false">IF(N(B44)=0,"",IFERROR(B44/V44,""))</f>
        <v/>
      </c>
      <c r="X44" s="6"/>
      <c r="Y44" s="5" t="str">
        <f aca="false">IF(N(H44)=0,"",IFERROR(H44/X44,""))</f>
        <v/>
      </c>
      <c r="Z44" s="5" t="n">
        <f aca="false">N(C44)+N(F44)+N(T44)+N(U44)+N(S44)+N(W44)+N(Y44)</f>
        <v>3.99200488102323</v>
      </c>
    </row>
    <row r="45" customFormat="false" ht="15" hidden="false" customHeight="true" outlineLevel="0" collapsed="false">
      <c r="A45" s="2" t="s">
        <v>62</v>
      </c>
      <c r="G45" s="1" t="n">
        <v>12.5616700546816</v>
      </c>
      <c r="I45" s="1" t="n">
        <v>12.5616700546816</v>
      </c>
      <c r="O45" s="1" t="n">
        <v>457</v>
      </c>
      <c r="Q45" s="1" t="n">
        <v>457</v>
      </c>
      <c r="R45" s="4" t="n">
        <v>85</v>
      </c>
      <c r="S45" s="5" t="n">
        <f aca="false">IF(OR(N(G45)=0,$R45=""),"",IFERROR(G45/INDEX(Ratios!$B$2:$F$79,MATCH($A45,Ratios!$A$2:$A$79,0),MATCH($R45,Ratios!$B$1:$F$1,0)),"ratio inconnu"))</f>
        <v>1.29075935621471</v>
      </c>
      <c r="T45" s="5" t="str">
        <f aca="false">IF(N(D45)&gt;0,D45,"")</f>
        <v/>
      </c>
      <c r="U45" s="5" t="str">
        <f aca="false">IF(N(E45)&gt;0,E45,"")</f>
        <v/>
      </c>
      <c r="V45" s="6"/>
      <c r="W45" s="5" t="str">
        <f aca="false">IF(N(B45)=0,"",IFERROR(B45/V45,""))</f>
        <v/>
      </c>
      <c r="X45" s="6"/>
      <c r="Y45" s="5" t="str">
        <f aca="false">IF(N(H45)=0,"",IFERROR(H45/X45,""))</f>
        <v/>
      </c>
      <c r="Z45" s="5" t="n">
        <f aca="false">N(C45)+N(F45)+N(T45)+N(U45)+N(S45)+N(W45)+N(Y45)</f>
        <v>1.29075935621471</v>
      </c>
    </row>
    <row r="46" customFormat="false" ht="15" hidden="false" customHeight="true" outlineLevel="0" collapsed="false">
      <c r="A46" s="2" t="s">
        <v>10</v>
      </c>
      <c r="B46" s="1" t="n">
        <v>0.904085943475366</v>
      </c>
      <c r="C46" s="1" t="n">
        <v>0.0136504117399454</v>
      </c>
      <c r="D46" s="1" t="n">
        <v>108.787238894031</v>
      </c>
      <c r="E46" s="1" t="n">
        <v>424.902514652349</v>
      </c>
      <c r="F46" s="1" t="n">
        <v>0.663386292755604</v>
      </c>
      <c r="G46" s="1" t="n">
        <v>13716.8132113349</v>
      </c>
      <c r="H46" s="1" t="n">
        <v>67.7356980219483</v>
      </c>
      <c r="I46" s="1" t="n">
        <v>14319.8197855512</v>
      </c>
      <c r="J46" s="1" t="n">
        <v>79</v>
      </c>
      <c r="K46" s="1" t="n">
        <v>3</v>
      </c>
      <c r="L46" s="1" t="n">
        <v>72373</v>
      </c>
      <c r="M46" s="1" t="n">
        <v>394449</v>
      </c>
      <c r="N46" s="1" t="n">
        <v>60</v>
      </c>
      <c r="O46" s="1" t="n">
        <v>520315</v>
      </c>
      <c r="P46" s="1" t="n">
        <v>17</v>
      </c>
      <c r="Q46" s="1" t="n">
        <v>987296</v>
      </c>
    </row>
  </sheetData>
  <mergeCells count="2">
    <mergeCell ref="B1:I1"/>
    <mergeCell ref="J1:Q1"/>
  </mergeCells>
  <dataValidations count="1">
    <dataValidation allowBlank="true" error="Choisir une valeur dans la liste (75, 80, 85, 90, 95)." errorStyle="stop" errorTitle="Q invalide" operator="between" showDropDown="false" showErrorMessage="false" showInputMessage="false" sqref="R4:R6 R8:R13 R15:R17 R19:R23 R25:R45" type="list">
      <formula1>Ratios!$H$2:$H$6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3" t="s">
        <v>20</v>
      </c>
      <c r="B1" s="3" t="n">
        <v>75</v>
      </c>
      <c r="C1" s="3" t="n">
        <v>80</v>
      </c>
      <c r="D1" s="3" t="n">
        <v>85</v>
      </c>
      <c r="E1" s="3" t="n">
        <v>90</v>
      </c>
      <c r="F1" s="3" t="n">
        <v>95</v>
      </c>
      <c r="H1" s="3" t="s">
        <v>63</v>
      </c>
    </row>
    <row r="2" customFormat="false" ht="15" hidden="false" customHeight="true" outlineLevel="0" collapsed="false">
      <c r="A2" s="6" t="s">
        <v>64</v>
      </c>
      <c r="B2" s="5"/>
      <c r="C2" s="5" t="n">
        <v>32.195</v>
      </c>
      <c r="D2" s="5" t="n">
        <v>26.514</v>
      </c>
      <c r="E2" s="5" t="n">
        <v>13.962</v>
      </c>
      <c r="F2" s="5" t="n">
        <v>9.108</v>
      </c>
      <c r="H2" s="6" t="n">
        <v>75</v>
      </c>
    </row>
    <row r="3" customFormat="false" ht="15" hidden="false" customHeight="true" outlineLevel="0" collapsed="false">
      <c r="A3" s="6" t="s">
        <v>65</v>
      </c>
      <c r="B3" s="5"/>
      <c r="C3" s="5" t="n">
        <v>45.523</v>
      </c>
      <c r="D3" s="5" t="n">
        <v>37.108</v>
      </c>
      <c r="E3" s="5" t="n">
        <v>19.95</v>
      </c>
      <c r="F3" s="5" t="n">
        <v>12.884</v>
      </c>
      <c r="H3" s="6" t="n">
        <v>80</v>
      </c>
    </row>
    <row r="4" customFormat="false" ht="15" hidden="false" customHeight="true" outlineLevel="0" collapsed="false">
      <c r="A4" s="6" t="s">
        <v>66</v>
      </c>
      <c r="B4" s="5"/>
      <c r="C4" s="5" t="n">
        <v>12.542</v>
      </c>
      <c r="D4" s="5" t="n">
        <v>10.493</v>
      </c>
      <c r="E4" s="5" t="n">
        <v>6.024</v>
      </c>
      <c r="F4" s="5" t="n">
        <v>3.787</v>
      </c>
      <c r="H4" s="6" t="n">
        <v>85</v>
      </c>
    </row>
    <row r="5" customFormat="false" ht="15" hidden="false" customHeight="true" outlineLevel="0" collapsed="false">
      <c r="A5" s="6" t="s">
        <v>67</v>
      </c>
      <c r="B5" s="5"/>
      <c r="C5" s="5" t="n">
        <v>33.386</v>
      </c>
      <c r="D5" s="5" t="n">
        <v>27.094</v>
      </c>
      <c r="E5" s="5" t="n">
        <v>15.555</v>
      </c>
      <c r="F5" s="5" t="n">
        <v>10.073</v>
      </c>
      <c r="H5" s="6" t="n">
        <v>90</v>
      </c>
    </row>
    <row r="6" customFormat="false" ht="15" hidden="false" customHeight="true" outlineLevel="0" collapsed="false">
      <c r="A6" s="6" t="s">
        <v>68</v>
      </c>
      <c r="B6" s="5"/>
      <c r="C6" s="5" t="n">
        <v>24.704</v>
      </c>
      <c r="D6" s="5" t="n">
        <v>20.965</v>
      </c>
      <c r="E6" s="5" t="n">
        <v>11.531</v>
      </c>
      <c r="F6" s="5" t="n">
        <v>7.842</v>
      </c>
      <c r="H6" s="6" t="n">
        <v>95</v>
      </c>
    </row>
    <row r="7" customFormat="false" ht="15" hidden="false" customHeight="true" outlineLevel="0" collapsed="false">
      <c r="A7" s="6" t="s">
        <v>69</v>
      </c>
      <c r="B7" s="5"/>
      <c r="C7" s="5" t="n">
        <v>29.413</v>
      </c>
      <c r="D7" s="5" t="n">
        <v>24.45</v>
      </c>
      <c r="E7" s="5" t="n">
        <v>13.025</v>
      </c>
      <c r="F7" s="5" t="n">
        <v>8.349</v>
      </c>
    </row>
    <row r="8" customFormat="false" ht="15" hidden="false" customHeight="true" outlineLevel="0" collapsed="false">
      <c r="A8" s="6" t="s">
        <v>70</v>
      </c>
      <c r="B8" s="5"/>
      <c r="C8" s="5" t="n">
        <v>29.904</v>
      </c>
      <c r="D8" s="5" t="n">
        <v>24.804</v>
      </c>
      <c r="E8" s="5" t="n">
        <v>13.587</v>
      </c>
      <c r="F8" s="5" t="n">
        <v>8.885</v>
      </c>
    </row>
    <row r="9" customFormat="false" ht="15" hidden="false" customHeight="true" outlineLevel="0" collapsed="false">
      <c r="A9" s="6" t="s">
        <v>71</v>
      </c>
      <c r="B9" s="5"/>
      <c r="C9" s="5" t="n">
        <v>32.34</v>
      </c>
      <c r="D9" s="5" t="n">
        <v>26.373</v>
      </c>
      <c r="E9" s="5" t="n">
        <v>14.908</v>
      </c>
      <c r="F9" s="5" t="n">
        <v>9.62</v>
      </c>
    </row>
    <row r="10" customFormat="false" ht="15" hidden="false" customHeight="true" outlineLevel="0" collapsed="false">
      <c r="A10" s="6" t="s">
        <v>72</v>
      </c>
      <c r="B10" s="5"/>
      <c r="C10" s="5" t="n">
        <v>21.476</v>
      </c>
      <c r="D10" s="5" t="n">
        <v>17.858</v>
      </c>
      <c r="E10" s="5" t="n">
        <v>10.879</v>
      </c>
      <c r="F10" s="5" t="n">
        <v>5.874</v>
      </c>
    </row>
    <row r="11" customFormat="false" ht="15" hidden="false" customHeight="true" outlineLevel="0" collapsed="false">
      <c r="A11" s="6" t="s">
        <v>73</v>
      </c>
      <c r="B11" s="5"/>
      <c r="C11" s="5" t="n">
        <v>16.748</v>
      </c>
      <c r="D11" s="5" t="n">
        <v>13.534</v>
      </c>
      <c r="E11" s="5" t="n">
        <v>7.325</v>
      </c>
      <c r="F11" s="5" t="n">
        <v>4.673</v>
      </c>
    </row>
    <row r="12" customFormat="false" ht="15" hidden="false" customHeight="true" outlineLevel="0" collapsed="false">
      <c r="A12" s="6" t="s">
        <v>74</v>
      </c>
      <c r="B12" s="5"/>
      <c r="C12" s="5" t="n">
        <v>22.94</v>
      </c>
      <c r="D12" s="5" t="n">
        <v>19.114</v>
      </c>
      <c r="E12" s="5" t="n">
        <v>10.716</v>
      </c>
      <c r="F12" s="5" t="n">
        <v>7.174</v>
      </c>
    </row>
    <row r="13" customFormat="false" ht="15" hidden="false" customHeight="true" outlineLevel="0" collapsed="false">
      <c r="A13" s="6" t="s">
        <v>75</v>
      </c>
      <c r="B13" s="5"/>
      <c r="C13" s="5" t="n">
        <v>30.193</v>
      </c>
      <c r="D13" s="5" t="n">
        <v>25.063</v>
      </c>
      <c r="E13" s="5" t="n">
        <v>13.68</v>
      </c>
      <c r="F13" s="5" t="n">
        <v>8.857</v>
      </c>
    </row>
    <row r="14" customFormat="false" ht="15" hidden="false" customHeight="true" outlineLevel="0" collapsed="false">
      <c r="A14" s="6" t="s">
        <v>76</v>
      </c>
      <c r="B14" s="5"/>
      <c r="C14" s="5" t="n">
        <v>17.404</v>
      </c>
      <c r="D14" s="5" t="n">
        <v>14.472</v>
      </c>
      <c r="E14" s="5" t="n">
        <v>8.959</v>
      </c>
      <c r="F14" s="5" t="n">
        <v>5.114</v>
      </c>
    </row>
    <row r="15" customFormat="false" ht="15" hidden="false" customHeight="true" outlineLevel="0" collapsed="false">
      <c r="A15" s="6" t="s">
        <v>77</v>
      </c>
      <c r="B15" s="5"/>
      <c r="C15" s="5" t="n">
        <v>22.002</v>
      </c>
      <c r="D15" s="5" t="n">
        <v>18.109</v>
      </c>
      <c r="E15" s="5" t="n">
        <v>9.698</v>
      </c>
      <c r="F15" s="5" t="n">
        <v>6.411</v>
      </c>
    </row>
    <row r="16" customFormat="false" ht="15" hidden="false" customHeight="true" outlineLevel="0" collapsed="false">
      <c r="A16" s="6" t="s">
        <v>78</v>
      </c>
      <c r="B16" s="5"/>
      <c r="C16" s="5" t="n">
        <v>10.454</v>
      </c>
      <c r="D16" s="5" t="n">
        <v>8.567</v>
      </c>
      <c r="E16" s="5" t="n">
        <v>4.514</v>
      </c>
      <c r="F16" s="5" t="n">
        <v>2.856</v>
      </c>
    </row>
    <row r="17" customFormat="false" ht="15" hidden="false" customHeight="true" outlineLevel="0" collapsed="false">
      <c r="A17" s="6" t="s">
        <v>79</v>
      </c>
      <c r="B17" s="5"/>
      <c r="C17" s="5" t="n">
        <v>30.182</v>
      </c>
      <c r="D17" s="5" t="n">
        <v>24.792</v>
      </c>
      <c r="E17" s="5" t="n">
        <v>12.676</v>
      </c>
      <c r="F17" s="5" t="n">
        <v>8.256</v>
      </c>
    </row>
    <row r="18" customFormat="false" ht="15" hidden="false" customHeight="true" outlineLevel="0" collapsed="false">
      <c r="A18" s="6" t="s">
        <v>80</v>
      </c>
      <c r="B18" s="5"/>
      <c r="C18" s="5" t="n">
        <v>29.723</v>
      </c>
      <c r="D18" s="5" t="n">
        <v>25.2</v>
      </c>
      <c r="E18" s="5" t="n">
        <v>13.657</v>
      </c>
      <c r="F18" s="5" t="n">
        <v>9.448</v>
      </c>
    </row>
    <row r="19" customFormat="false" ht="15" hidden="false" customHeight="true" outlineLevel="0" collapsed="false">
      <c r="A19" s="6" t="s">
        <v>81</v>
      </c>
      <c r="B19" s="5"/>
      <c r="C19" s="5" t="n">
        <v>28.625</v>
      </c>
      <c r="D19" s="5" t="n">
        <v>23.417</v>
      </c>
      <c r="E19" s="5" t="n">
        <v>12.471</v>
      </c>
      <c r="F19" s="5" t="n">
        <v>8.219</v>
      </c>
    </row>
    <row r="20" customFormat="false" ht="15" hidden="false" customHeight="true" outlineLevel="0" collapsed="false">
      <c r="A20" s="6" t="s">
        <v>82</v>
      </c>
      <c r="B20" s="5"/>
      <c r="C20" s="5" t="n">
        <v>21.762</v>
      </c>
      <c r="D20" s="5" t="n">
        <v>17.746</v>
      </c>
      <c r="E20" s="5" t="n">
        <v>10.021</v>
      </c>
      <c r="F20" s="5" t="n">
        <v>6.607</v>
      </c>
    </row>
    <row r="21" customFormat="false" ht="15" hidden="false" customHeight="true" outlineLevel="0" collapsed="false">
      <c r="A21" s="6" t="s">
        <v>83</v>
      </c>
      <c r="B21" s="5"/>
      <c r="C21" s="5" t="n">
        <v>53.521</v>
      </c>
      <c r="D21" s="5" t="n">
        <v>45.186</v>
      </c>
      <c r="E21" s="5" t="n">
        <v>28.37</v>
      </c>
      <c r="F21" s="5" t="n">
        <v>18.952</v>
      </c>
    </row>
    <row r="22" customFormat="false" ht="15" hidden="false" customHeight="true" outlineLevel="0" collapsed="false">
      <c r="A22" s="6" t="s">
        <v>84</v>
      </c>
      <c r="B22" s="5"/>
      <c r="C22" s="5" t="n">
        <v>16.142</v>
      </c>
      <c r="D22" s="5" t="n">
        <v>13.361</v>
      </c>
      <c r="E22" s="5" t="n">
        <v>7.544</v>
      </c>
      <c r="F22" s="5" t="n">
        <v>4.728</v>
      </c>
    </row>
    <row r="23" customFormat="false" ht="15" hidden="false" customHeight="true" outlineLevel="0" collapsed="false">
      <c r="A23" s="6" t="s">
        <v>85</v>
      </c>
      <c r="B23" s="5"/>
      <c r="C23" s="5" t="n">
        <v>27.081</v>
      </c>
      <c r="D23" s="5" t="n">
        <v>22.214</v>
      </c>
      <c r="E23" s="5" t="n">
        <v>12.381</v>
      </c>
      <c r="F23" s="5" t="n">
        <v>8.206</v>
      </c>
    </row>
    <row r="24" customFormat="false" ht="15" hidden="false" customHeight="true" outlineLevel="0" collapsed="false">
      <c r="A24" s="6" t="s">
        <v>86</v>
      </c>
      <c r="B24" s="5"/>
      <c r="C24" s="5" t="n">
        <v>35.568</v>
      </c>
      <c r="D24" s="5" t="n">
        <v>28.554</v>
      </c>
      <c r="E24" s="5" t="n">
        <v>16.386</v>
      </c>
      <c r="F24" s="5" t="n">
        <v>10.587</v>
      </c>
    </row>
    <row r="25" customFormat="false" ht="15" hidden="false" customHeight="true" outlineLevel="0" collapsed="false">
      <c r="A25" s="6" t="s">
        <v>87</v>
      </c>
      <c r="B25" s="5"/>
      <c r="C25" s="5" t="n">
        <v>48.047</v>
      </c>
      <c r="D25" s="5" t="n">
        <v>40.264</v>
      </c>
      <c r="E25" s="5" t="n">
        <v>20.948</v>
      </c>
      <c r="F25" s="5" t="n">
        <v>14.051</v>
      </c>
    </row>
    <row r="26" customFormat="false" ht="15" hidden="false" customHeight="true" outlineLevel="0" collapsed="false">
      <c r="A26" s="6" t="s">
        <v>21</v>
      </c>
      <c r="B26" s="5"/>
      <c r="C26" s="5" t="n">
        <v>19.947</v>
      </c>
      <c r="D26" s="5" t="n">
        <v>15.753</v>
      </c>
      <c r="E26" s="5" t="n">
        <v>6.74</v>
      </c>
      <c r="F26" s="5" t="n">
        <v>3.757</v>
      </c>
    </row>
    <row r="27" customFormat="false" ht="15" hidden="false" customHeight="true" outlineLevel="0" collapsed="false">
      <c r="A27" s="6" t="s">
        <v>88</v>
      </c>
      <c r="B27" s="5"/>
      <c r="C27" s="5" t="n">
        <v>28.777</v>
      </c>
      <c r="D27" s="5" t="n">
        <v>22.922</v>
      </c>
      <c r="E27" s="5" t="n">
        <v>11.408</v>
      </c>
      <c r="F27" s="5" t="n">
        <v>6.854</v>
      </c>
    </row>
    <row r="28" customFormat="false" ht="15" hidden="false" customHeight="true" outlineLevel="0" collapsed="false">
      <c r="A28" s="6" t="s">
        <v>89</v>
      </c>
      <c r="B28" s="5"/>
      <c r="C28" s="5" t="n">
        <v>24.093</v>
      </c>
      <c r="D28" s="5" t="n">
        <v>19.553</v>
      </c>
      <c r="E28" s="5" t="n">
        <v>12.992</v>
      </c>
      <c r="F28" s="5" t="n">
        <v>8.04</v>
      </c>
    </row>
    <row r="29" customFormat="false" ht="15" hidden="false" customHeight="true" outlineLevel="0" collapsed="false">
      <c r="A29" s="6" t="s">
        <v>22</v>
      </c>
      <c r="B29" s="5"/>
      <c r="C29" s="5" t="n">
        <v>16.803</v>
      </c>
      <c r="D29" s="5" t="n">
        <v>13.808</v>
      </c>
      <c r="E29" s="5" t="n">
        <v>8.204</v>
      </c>
      <c r="F29" s="5" t="n">
        <v>5.114</v>
      </c>
    </row>
    <row r="30" customFormat="false" ht="15" hidden="false" customHeight="true" outlineLevel="0" collapsed="false">
      <c r="A30" s="6" t="s">
        <v>90</v>
      </c>
      <c r="B30" s="5"/>
      <c r="C30" s="5" t="n">
        <v>17.925</v>
      </c>
      <c r="D30" s="5" t="n">
        <v>14.864</v>
      </c>
      <c r="E30" s="5" t="n">
        <v>8.26</v>
      </c>
      <c r="F30" s="5" t="n">
        <v>4.994</v>
      </c>
    </row>
    <row r="31" customFormat="false" ht="15" hidden="false" customHeight="true" outlineLevel="0" collapsed="false">
      <c r="A31" s="6" t="s">
        <v>23</v>
      </c>
      <c r="B31" s="5"/>
      <c r="C31" s="5" t="n">
        <v>14.017</v>
      </c>
      <c r="D31" s="5" t="n">
        <v>11.779</v>
      </c>
      <c r="E31" s="5" t="n">
        <v>6.82</v>
      </c>
      <c r="F31" s="5" t="n">
        <v>4.24</v>
      </c>
    </row>
    <row r="32" customFormat="false" ht="15" hidden="false" customHeight="true" outlineLevel="0" collapsed="false">
      <c r="A32" s="6" t="s">
        <v>91</v>
      </c>
      <c r="B32" s="5"/>
      <c r="C32" s="5" t="n">
        <v>54.973</v>
      </c>
      <c r="D32" s="5" t="n">
        <v>45.659</v>
      </c>
      <c r="E32" s="5" t="n">
        <v>24.028</v>
      </c>
      <c r="F32" s="5" t="n">
        <v>15.802</v>
      </c>
    </row>
    <row r="33" customFormat="false" ht="15" hidden="false" customHeight="true" outlineLevel="0" collapsed="false">
      <c r="A33" s="6" t="s">
        <v>92</v>
      </c>
      <c r="B33" s="5"/>
      <c r="C33" s="5" t="n">
        <v>22.187</v>
      </c>
      <c r="D33" s="5" t="n">
        <v>18.038</v>
      </c>
      <c r="E33" s="5" t="n">
        <v>10.567</v>
      </c>
      <c r="F33" s="5" t="n">
        <v>6.63</v>
      </c>
    </row>
    <row r="34" customFormat="false" ht="15" hidden="false" customHeight="true" outlineLevel="0" collapsed="false">
      <c r="A34" s="6" t="s">
        <v>93</v>
      </c>
      <c r="B34" s="5"/>
      <c r="C34" s="5" t="n">
        <v>27.62</v>
      </c>
      <c r="D34" s="5" t="n">
        <v>22.289</v>
      </c>
      <c r="E34" s="5" t="n">
        <v>12.692</v>
      </c>
      <c r="F34" s="5" t="n">
        <v>8.328</v>
      </c>
    </row>
    <row r="35" customFormat="false" ht="15" hidden="false" customHeight="true" outlineLevel="0" collapsed="false">
      <c r="A35" s="6" t="s">
        <v>25</v>
      </c>
      <c r="B35" s="5"/>
      <c r="C35" s="5" t="n">
        <v>33.459</v>
      </c>
      <c r="D35" s="5" t="n">
        <v>27.789</v>
      </c>
      <c r="E35" s="5" t="n">
        <v>15.754</v>
      </c>
      <c r="F35" s="5" t="n">
        <v>9.359</v>
      </c>
    </row>
    <row r="36" customFormat="false" ht="15" hidden="false" customHeight="true" outlineLevel="0" collapsed="false">
      <c r="A36" s="6" t="s">
        <v>94</v>
      </c>
      <c r="B36" s="5"/>
      <c r="C36" s="5" t="n">
        <v>30.569</v>
      </c>
      <c r="D36" s="5" t="n">
        <v>25.513</v>
      </c>
      <c r="E36" s="5" t="n">
        <v>15.084</v>
      </c>
      <c r="F36" s="5" t="n">
        <v>10.014</v>
      </c>
    </row>
    <row r="37" customFormat="false" ht="15" hidden="false" customHeight="true" outlineLevel="0" collapsed="false">
      <c r="A37" s="6" t="s">
        <v>26</v>
      </c>
      <c r="B37" s="5"/>
      <c r="C37" s="5" t="n">
        <v>27.263</v>
      </c>
      <c r="D37" s="5" t="n">
        <v>22.848</v>
      </c>
      <c r="E37" s="5" t="n">
        <v>12.602</v>
      </c>
      <c r="F37" s="5" t="n">
        <v>8.167</v>
      </c>
    </row>
    <row r="38" customFormat="false" ht="15" hidden="false" customHeight="true" outlineLevel="0" collapsed="false">
      <c r="A38" s="6" t="s">
        <v>28</v>
      </c>
      <c r="B38" s="5"/>
      <c r="C38" s="5" t="n">
        <v>20.999</v>
      </c>
      <c r="D38" s="5" t="n">
        <v>17.306</v>
      </c>
      <c r="E38" s="5" t="n">
        <v>13.166</v>
      </c>
      <c r="F38" s="5" t="n">
        <v>8.828</v>
      </c>
    </row>
    <row r="39" customFormat="false" ht="15" hidden="false" customHeight="true" outlineLevel="0" collapsed="false">
      <c r="A39" s="6" t="s">
        <v>29</v>
      </c>
      <c r="B39" s="5"/>
      <c r="C39" s="5" t="n">
        <v>18.614</v>
      </c>
      <c r="D39" s="5" t="n">
        <v>15.188</v>
      </c>
      <c r="E39" s="5" t="n">
        <v>8.696</v>
      </c>
      <c r="F39" s="5" t="n">
        <v>5.078</v>
      </c>
    </row>
    <row r="40" customFormat="false" ht="15" hidden="false" customHeight="true" outlineLevel="0" collapsed="false">
      <c r="A40" s="6" t="s">
        <v>95</v>
      </c>
      <c r="B40" s="5"/>
      <c r="C40" s="5" t="n">
        <v>12.741</v>
      </c>
      <c r="D40" s="5" t="n">
        <v>10.656</v>
      </c>
      <c r="E40" s="5" t="n">
        <v>6.9</v>
      </c>
      <c r="F40" s="5" t="n">
        <v>4.76</v>
      </c>
    </row>
    <row r="41" customFormat="false" ht="15" hidden="false" customHeight="true" outlineLevel="0" collapsed="false">
      <c r="A41" s="6" t="s">
        <v>96</v>
      </c>
      <c r="B41" s="5"/>
      <c r="C41" s="5" t="n">
        <v>8.6</v>
      </c>
      <c r="D41" s="5" t="n">
        <v>7.111</v>
      </c>
      <c r="E41" s="5" t="n">
        <v>5.429</v>
      </c>
      <c r="F41" s="5" t="n">
        <v>3.72</v>
      </c>
    </row>
    <row r="42" customFormat="false" ht="15" hidden="false" customHeight="true" outlineLevel="0" collapsed="false">
      <c r="A42" s="6" t="s">
        <v>30</v>
      </c>
      <c r="B42" s="5"/>
      <c r="C42" s="5" t="n">
        <v>15.668</v>
      </c>
      <c r="D42" s="5" t="n">
        <v>12.96</v>
      </c>
      <c r="E42" s="5" t="n">
        <v>7.123</v>
      </c>
      <c r="F42" s="5" t="n">
        <v>4.235</v>
      </c>
    </row>
    <row r="43" customFormat="false" ht="15" hidden="false" customHeight="true" outlineLevel="0" collapsed="false">
      <c r="A43" s="6" t="s">
        <v>97</v>
      </c>
      <c r="B43" s="5"/>
      <c r="C43" s="5" t="n">
        <v>30.806</v>
      </c>
      <c r="D43" s="5" t="n">
        <v>26.324</v>
      </c>
      <c r="E43" s="5" t="n">
        <v>15.158</v>
      </c>
      <c r="F43" s="5" t="n">
        <v>10.296</v>
      </c>
    </row>
    <row r="44" customFormat="false" ht="15" hidden="false" customHeight="true" outlineLevel="0" collapsed="false">
      <c r="A44" s="6" t="s">
        <v>32</v>
      </c>
      <c r="B44" s="5"/>
      <c r="C44" s="5" t="n">
        <v>23.385</v>
      </c>
      <c r="D44" s="5" t="n">
        <v>19.16</v>
      </c>
      <c r="E44" s="5" t="n">
        <v>11.811</v>
      </c>
      <c r="F44" s="5" t="n">
        <v>7.315</v>
      </c>
    </row>
    <row r="45" customFormat="false" ht="15" hidden="false" customHeight="true" outlineLevel="0" collapsed="false">
      <c r="A45" s="6" t="s">
        <v>33</v>
      </c>
      <c r="B45" s="5"/>
      <c r="C45" s="5" t="n">
        <v>20.912</v>
      </c>
      <c r="D45" s="5" t="n">
        <v>17.722</v>
      </c>
      <c r="E45" s="5" t="n">
        <v>9.528</v>
      </c>
      <c r="F45" s="5" t="n">
        <v>5.887</v>
      </c>
    </row>
    <row r="46" customFormat="false" ht="15" hidden="false" customHeight="true" outlineLevel="0" collapsed="false">
      <c r="A46" s="6" t="s">
        <v>34</v>
      </c>
      <c r="B46" s="5"/>
      <c r="C46" s="5" t="n">
        <v>1.76</v>
      </c>
      <c r="D46" s="5" t="n">
        <v>1.359</v>
      </c>
      <c r="E46" s="5" t="n">
        <v>1.115</v>
      </c>
      <c r="F46" s="5" t="n">
        <v>0.879</v>
      </c>
    </row>
    <row r="47" customFormat="false" ht="15" hidden="false" customHeight="true" outlineLevel="0" collapsed="false">
      <c r="A47" s="6" t="s">
        <v>36</v>
      </c>
      <c r="B47" s="5"/>
      <c r="C47" s="5" t="n">
        <v>14.761</v>
      </c>
      <c r="D47" s="5" t="n">
        <v>12.162</v>
      </c>
      <c r="E47" s="5" t="n">
        <v>7.139</v>
      </c>
      <c r="F47" s="5" t="n">
        <v>4.504</v>
      </c>
    </row>
    <row r="48" customFormat="false" ht="15" hidden="false" customHeight="true" outlineLevel="0" collapsed="false">
      <c r="A48" s="6" t="s">
        <v>37</v>
      </c>
      <c r="B48" s="5"/>
      <c r="C48" s="5" t="n">
        <v>15.88</v>
      </c>
      <c r="D48" s="5" t="n">
        <v>13.401</v>
      </c>
      <c r="E48" s="5" t="n">
        <v>7.463</v>
      </c>
      <c r="F48" s="5" t="n">
        <v>4.696</v>
      </c>
    </row>
    <row r="49" customFormat="false" ht="15" hidden="false" customHeight="true" outlineLevel="0" collapsed="false">
      <c r="A49" s="6" t="s">
        <v>38</v>
      </c>
      <c r="B49" s="5"/>
      <c r="C49" s="5" t="n">
        <v>16.922</v>
      </c>
      <c r="D49" s="5" t="n">
        <v>14.226</v>
      </c>
      <c r="E49" s="5" t="n">
        <v>9.282</v>
      </c>
      <c r="F49" s="5" t="n">
        <v>6.08</v>
      </c>
    </row>
    <row r="50" customFormat="false" ht="15" hidden="false" customHeight="true" outlineLevel="0" collapsed="false">
      <c r="A50" s="6" t="s">
        <v>98</v>
      </c>
      <c r="B50" s="5"/>
      <c r="C50" s="5" t="n">
        <v>18.073</v>
      </c>
      <c r="D50" s="5" t="n">
        <v>14.646</v>
      </c>
      <c r="E50" s="5" t="n">
        <v>8.886</v>
      </c>
      <c r="F50" s="5" t="n">
        <v>4.697</v>
      </c>
    </row>
    <row r="51" customFormat="false" ht="15" hidden="false" customHeight="true" outlineLevel="0" collapsed="false">
      <c r="A51" s="6" t="s">
        <v>39</v>
      </c>
      <c r="B51" s="5"/>
      <c r="C51" s="5" t="n">
        <v>27.519</v>
      </c>
      <c r="D51" s="5" t="n">
        <v>21.846</v>
      </c>
      <c r="E51" s="5" t="n">
        <v>12.54</v>
      </c>
      <c r="F51" s="5" t="n">
        <v>8.183</v>
      </c>
    </row>
    <row r="52" customFormat="false" ht="15" hidden="false" customHeight="true" outlineLevel="0" collapsed="false">
      <c r="A52" s="6" t="s">
        <v>99</v>
      </c>
      <c r="B52" s="5"/>
      <c r="C52" s="5" t="n">
        <v>17.346</v>
      </c>
      <c r="D52" s="5" t="n">
        <v>14.103</v>
      </c>
      <c r="E52" s="5" t="n">
        <v>7.874</v>
      </c>
      <c r="F52" s="5" t="n">
        <v>4.258</v>
      </c>
    </row>
    <row r="53" customFormat="false" ht="15" hidden="false" customHeight="true" outlineLevel="0" collapsed="false">
      <c r="A53" s="6" t="s">
        <v>40</v>
      </c>
      <c r="B53" s="5"/>
      <c r="C53" s="5" t="n">
        <v>24.244</v>
      </c>
      <c r="D53" s="5" t="n">
        <v>19.904</v>
      </c>
      <c r="E53" s="5" t="n">
        <v>12.424</v>
      </c>
      <c r="F53" s="5" t="n">
        <v>6.821</v>
      </c>
    </row>
    <row r="54" customFormat="false" ht="15" hidden="false" customHeight="true" outlineLevel="0" collapsed="false">
      <c r="A54" s="6" t="s">
        <v>42</v>
      </c>
      <c r="B54" s="5"/>
      <c r="C54" s="5" t="n">
        <v>10.992</v>
      </c>
      <c r="D54" s="5" t="n">
        <v>9.264</v>
      </c>
      <c r="E54" s="5" t="n">
        <v>4.89</v>
      </c>
      <c r="F54" s="5" t="n">
        <v>3.24</v>
      </c>
    </row>
    <row r="55" customFormat="false" ht="15" hidden="false" customHeight="true" outlineLevel="0" collapsed="false">
      <c r="A55" s="6" t="s">
        <v>100</v>
      </c>
      <c r="B55" s="5"/>
      <c r="C55" s="5" t="n">
        <v>11.682</v>
      </c>
      <c r="D55" s="5" t="n">
        <v>9.878</v>
      </c>
      <c r="E55" s="5" t="n">
        <v>6.168</v>
      </c>
      <c r="F55" s="5" t="n">
        <v>3.912</v>
      </c>
    </row>
    <row r="56" customFormat="false" ht="15" hidden="false" customHeight="true" outlineLevel="0" collapsed="false">
      <c r="A56" s="6" t="s">
        <v>43</v>
      </c>
      <c r="B56" s="5"/>
      <c r="C56" s="5" t="n">
        <v>13.982</v>
      </c>
      <c r="D56" s="5" t="n">
        <v>11.518</v>
      </c>
      <c r="E56" s="5" t="n">
        <v>6.454</v>
      </c>
      <c r="F56" s="5" t="n">
        <v>3.801</v>
      </c>
    </row>
    <row r="57" customFormat="false" ht="15" hidden="false" customHeight="true" outlineLevel="0" collapsed="false">
      <c r="A57" s="6" t="s">
        <v>44</v>
      </c>
      <c r="B57" s="5"/>
      <c r="C57" s="5" t="n">
        <v>14.844</v>
      </c>
      <c r="D57" s="5" t="n">
        <v>12.304</v>
      </c>
      <c r="E57" s="5" t="n">
        <v>7.389</v>
      </c>
      <c r="F57" s="5" t="n">
        <v>4.77</v>
      </c>
    </row>
    <row r="58" customFormat="false" ht="15" hidden="false" customHeight="true" outlineLevel="0" collapsed="false">
      <c r="A58" s="6" t="s">
        <v>45</v>
      </c>
      <c r="B58" s="5"/>
      <c r="C58" s="5" t="n">
        <v>19.286</v>
      </c>
      <c r="D58" s="5" t="n">
        <v>16.138</v>
      </c>
      <c r="E58" s="5" t="n">
        <v>9.382</v>
      </c>
      <c r="F58" s="5" t="n">
        <v>6.008</v>
      </c>
    </row>
    <row r="59" customFormat="false" ht="15" hidden="false" customHeight="true" outlineLevel="0" collapsed="false">
      <c r="A59" s="6" t="s">
        <v>46</v>
      </c>
      <c r="B59" s="5"/>
      <c r="C59" s="5" t="n">
        <v>15.584</v>
      </c>
      <c r="D59" s="5" t="n">
        <v>12.644</v>
      </c>
      <c r="E59" s="5" t="n">
        <v>7.592</v>
      </c>
      <c r="F59" s="5" t="n">
        <v>4.88</v>
      </c>
    </row>
    <row r="60" customFormat="false" ht="15" hidden="false" customHeight="true" outlineLevel="0" collapsed="false">
      <c r="A60" s="6" t="s">
        <v>47</v>
      </c>
      <c r="B60" s="5"/>
      <c r="C60" s="5" t="n">
        <v>20.935</v>
      </c>
      <c r="D60" s="5" t="n">
        <v>17.18</v>
      </c>
      <c r="E60" s="5" t="n">
        <v>10.296</v>
      </c>
      <c r="F60" s="5" t="n">
        <v>6.385</v>
      </c>
    </row>
    <row r="61" customFormat="false" ht="15" hidden="false" customHeight="true" outlineLevel="0" collapsed="false">
      <c r="A61" s="6" t="s">
        <v>101</v>
      </c>
      <c r="B61" s="5"/>
      <c r="C61" s="5" t="n">
        <v>14.074</v>
      </c>
      <c r="D61" s="5" t="n">
        <v>11.792</v>
      </c>
      <c r="E61" s="5" t="n">
        <v>7.726</v>
      </c>
      <c r="F61" s="5" t="n">
        <v>5.877</v>
      </c>
    </row>
    <row r="62" customFormat="false" ht="15" hidden="false" customHeight="true" outlineLevel="0" collapsed="false">
      <c r="A62" s="6" t="s">
        <v>102</v>
      </c>
      <c r="B62" s="5"/>
      <c r="C62" s="5" t="n">
        <v>23.971</v>
      </c>
      <c r="D62" s="5" t="n">
        <v>19.688</v>
      </c>
      <c r="E62" s="5" t="n">
        <v>11.394</v>
      </c>
      <c r="F62" s="5" t="n">
        <v>6.378</v>
      </c>
    </row>
    <row r="63" customFormat="false" ht="15" hidden="false" customHeight="true" outlineLevel="0" collapsed="false">
      <c r="A63" s="6" t="s">
        <v>48</v>
      </c>
      <c r="B63" s="5"/>
      <c r="C63" s="5" t="n">
        <v>30.406</v>
      </c>
      <c r="D63" s="5" t="n">
        <v>24.724</v>
      </c>
      <c r="E63" s="5" t="n">
        <v>13.266</v>
      </c>
      <c r="F63" s="5" t="n">
        <v>8.619</v>
      </c>
    </row>
    <row r="64" customFormat="false" ht="15" hidden="false" customHeight="true" outlineLevel="0" collapsed="false">
      <c r="A64" s="6" t="s">
        <v>49</v>
      </c>
      <c r="B64" s="5"/>
      <c r="C64" s="5" t="n">
        <v>15.049</v>
      </c>
      <c r="D64" s="5" t="n">
        <v>12.518</v>
      </c>
      <c r="E64" s="5" t="n">
        <v>7.603</v>
      </c>
      <c r="F64" s="5" t="n">
        <v>4.816</v>
      </c>
    </row>
    <row r="65" customFormat="false" ht="15" hidden="false" customHeight="true" outlineLevel="0" collapsed="false">
      <c r="A65" s="6" t="s">
        <v>50</v>
      </c>
      <c r="B65" s="5"/>
      <c r="C65" s="5" t="n">
        <v>21.074</v>
      </c>
      <c r="D65" s="5" t="n">
        <v>17.472</v>
      </c>
      <c r="E65" s="5" t="n">
        <v>10.564</v>
      </c>
      <c r="F65" s="5" t="n">
        <v>6.572</v>
      </c>
    </row>
    <row r="66" customFormat="false" ht="15" hidden="false" customHeight="true" outlineLevel="0" collapsed="false">
      <c r="A66" s="6" t="s">
        <v>103</v>
      </c>
      <c r="B66" s="5"/>
      <c r="C66" s="5" t="n">
        <v>17.739</v>
      </c>
      <c r="D66" s="5" t="n">
        <v>14.734</v>
      </c>
      <c r="E66" s="5" t="n">
        <v>8.112</v>
      </c>
      <c r="F66" s="5" t="n">
        <v>4.751</v>
      </c>
    </row>
    <row r="67" customFormat="false" ht="15" hidden="false" customHeight="true" outlineLevel="0" collapsed="false">
      <c r="A67" s="6" t="s">
        <v>51</v>
      </c>
      <c r="B67" s="5"/>
      <c r="C67" s="5" t="n">
        <v>21.481</v>
      </c>
      <c r="D67" s="5" t="n">
        <v>17.825</v>
      </c>
      <c r="E67" s="5" t="n">
        <v>10.244</v>
      </c>
      <c r="F67" s="5" t="n">
        <v>6.219</v>
      </c>
    </row>
    <row r="68" customFormat="false" ht="15" hidden="false" customHeight="true" outlineLevel="0" collapsed="false">
      <c r="A68" s="6" t="s">
        <v>52</v>
      </c>
      <c r="B68" s="5"/>
      <c r="C68" s="5" t="n">
        <v>22.804</v>
      </c>
      <c r="D68" s="5" t="n">
        <v>19.254</v>
      </c>
      <c r="E68" s="5" t="n">
        <v>12.165</v>
      </c>
      <c r="F68" s="5" t="n">
        <v>8.368</v>
      </c>
    </row>
    <row r="69" customFormat="false" ht="15" hidden="false" customHeight="true" outlineLevel="0" collapsed="false">
      <c r="A69" s="6" t="s">
        <v>53</v>
      </c>
      <c r="B69" s="5"/>
      <c r="C69" s="5" t="n">
        <v>19.301</v>
      </c>
      <c r="D69" s="5" t="n">
        <v>15.792</v>
      </c>
      <c r="E69" s="5" t="n">
        <v>9.086</v>
      </c>
      <c r="F69" s="5" t="n">
        <v>5.244</v>
      </c>
    </row>
    <row r="70" customFormat="false" ht="15" hidden="false" customHeight="true" outlineLevel="0" collapsed="false">
      <c r="A70" s="6" t="s">
        <v>54</v>
      </c>
      <c r="B70" s="5"/>
      <c r="C70" s="5" t="n">
        <v>16.647</v>
      </c>
      <c r="D70" s="5" t="n">
        <v>13.98</v>
      </c>
      <c r="E70" s="5" t="n">
        <v>8.797</v>
      </c>
      <c r="F70" s="5" t="n">
        <v>5.756</v>
      </c>
    </row>
    <row r="71" customFormat="false" ht="15" hidden="false" customHeight="true" outlineLevel="0" collapsed="false">
      <c r="A71" s="6" t="s">
        <v>55</v>
      </c>
      <c r="B71" s="5"/>
      <c r="C71" s="5" t="n">
        <v>5.156</v>
      </c>
      <c r="D71" s="5" t="n">
        <v>4.54</v>
      </c>
      <c r="E71" s="5" t="n">
        <v>3.777</v>
      </c>
      <c r="F71" s="5" t="n">
        <v>2.819</v>
      </c>
    </row>
    <row r="72" customFormat="false" ht="15" hidden="false" customHeight="true" outlineLevel="0" collapsed="false">
      <c r="A72" s="6" t="s">
        <v>104</v>
      </c>
      <c r="B72" s="5"/>
      <c r="C72" s="5" t="n">
        <v>5.304</v>
      </c>
      <c r="D72" s="5" t="n">
        <v>4.524</v>
      </c>
      <c r="E72" s="5" t="n">
        <v>3.613</v>
      </c>
      <c r="F72" s="5" t="n">
        <v>2.569</v>
      </c>
    </row>
    <row r="73" customFormat="false" ht="15" hidden="false" customHeight="true" outlineLevel="0" collapsed="false">
      <c r="A73" s="6" t="s">
        <v>56</v>
      </c>
      <c r="B73" s="5"/>
      <c r="C73" s="5" t="n">
        <v>6.809</v>
      </c>
      <c r="D73" s="5" t="n">
        <v>5.855</v>
      </c>
      <c r="E73" s="5" t="n">
        <v>4.773</v>
      </c>
      <c r="F73" s="5" t="n">
        <v>3.43</v>
      </c>
    </row>
    <row r="74" customFormat="false" ht="15" hidden="false" customHeight="true" outlineLevel="0" collapsed="false">
      <c r="A74" s="6" t="s">
        <v>57</v>
      </c>
      <c r="B74" s="5"/>
      <c r="C74" s="5" t="n">
        <v>6.872</v>
      </c>
      <c r="D74" s="5" t="n">
        <v>5.976</v>
      </c>
      <c r="E74" s="5" t="n">
        <v>4.828</v>
      </c>
      <c r="F74" s="5" t="n">
        <v>3.572</v>
      </c>
    </row>
    <row r="75" customFormat="false" ht="15" hidden="false" customHeight="true" outlineLevel="0" collapsed="false">
      <c r="A75" s="6" t="s">
        <v>58</v>
      </c>
      <c r="B75" s="5"/>
      <c r="C75" s="5" t="n">
        <v>5.967</v>
      </c>
      <c r="D75" s="5" t="n">
        <v>5.19</v>
      </c>
      <c r="E75" s="5" t="n">
        <v>4.257</v>
      </c>
      <c r="F75" s="5" t="n">
        <v>3.08</v>
      </c>
    </row>
    <row r="76" customFormat="false" ht="15" hidden="false" customHeight="true" outlineLevel="0" collapsed="false">
      <c r="A76" s="6" t="s">
        <v>59</v>
      </c>
      <c r="B76" s="5"/>
      <c r="C76" s="5" t="n">
        <v>5.278</v>
      </c>
      <c r="D76" s="5" t="n">
        <v>4.578</v>
      </c>
      <c r="E76" s="5" t="n">
        <v>3.691</v>
      </c>
      <c r="F76" s="5" t="n">
        <v>2.623</v>
      </c>
    </row>
    <row r="77" customFormat="false" ht="15" hidden="false" customHeight="true" outlineLevel="0" collapsed="false">
      <c r="A77" s="6" t="s">
        <v>60</v>
      </c>
      <c r="B77" s="5"/>
      <c r="C77" s="5" t="n">
        <v>4.74</v>
      </c>
      <c r="D77" s="5" t="n">
        <v>4.158</v>
      </c>
      <c r="E77" s="5" t="n">
        <v>3.441</v>
      </c>
      <c r="F77" s="5" t="n">
        <v>2.545</v>
      </c>
    </row>
    <row r="78" customFormat="false" ht="15" hidden="false" customHeight="true" outlineLevel="0" collapsed="false">
      <c r="A78" s="6" t="s">
        <v>61</v>
      </c>
      <c r="B78" s="5"/>
      <c r="C78" s="5" t="n">
        <v>6.363</v>
      </c>
      <c r="D78" s="5" t="n">
        <v>5.562</v>
      </c>
      <c r="E78" s="5" t="n">
        <v>4.582</v>
      </c>
      <c r="F78" s="5" t="n">
        <v>3.336</v>
      </c>
    </row>
    <row r="79" customFormat="false" ht="15" hidden="false" customHeight="true" outlineLevel="0" collapsed="false">
      <c r="A79" s="6" t="s">
        <v>62</v>
      </c>
      <c r="B79" s="5"/>
      <c r="C79" s="5" t="n">
        <v>11.451</v>
      </c>
      <c r="D79" s="5" t="n">
        <v>9.732</v>
      </c>
      <c r="E79" s="5" t="n">
        <v>4.854</v>
      </c>
      <c r="F79" s="5" t="n">
        <v>3.31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2026-07-03T05:27:49Z</dcterms:created>
  <dc:creator>openpyxl</dc:creator>
  <dc:description/>
  <dc:language>fr-FR</dc:language>
  <cp:lastModifiedBy/>
  <dcterms:modified xsi:type="dcterms:W3CDTF">2026-08-21T06:50:56Z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